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https://shiftup.sharepoint.com/sites/NetworkSA/Shared Documents/SEA_R2/Components/BCM_LIN [Paulo]/BCM (Master)/SEAR2_eSEAR2_BCM_LIN1_LIN2_DB_LDF_2.4/SEAR2_eSEAR2_BCM_LIN1_DB_LDF_2.4/"/>
    </mc:Choice>
  </mc:AlternateContent>
  <xr:revisionPtr revIDLastSave="468" documentId="13_ncr:1_{BD288CD0-3FEA-471C-AF43-FD8A4357CC32}" xr6:coauthVersionLast="47" xr6:coauthVersionMax="47" xr10:uidLastSave="{143EEF69-CBCC-40A7-92B7-5F714C15869E}"/>
  <bookViews>
    <workbookView xWindow="22932" yWindow="-108" windowWidth="23256" windowHeight="12576" xr2:uid="{53B93609-F31A-4AAF-8105-98D4BECFD4C7}"/>
  </bookViews>
  <sheets>
    <sheet name="Header" sheetId="1" r:id="rId1"/>
    <sheet name="Version history" sheetId="3" r:id="rId2"/>
    <sheet name="BCM_CSM" sheetId="23" r:id="rId3"/>
    <sheet name="BCM_FPAS " sheetId="25" r:id="rId4"/>
    <sheet name="BCM_BECB_DB" sheetId="17" r:id="rId5"/>
    <sheet name="BCM_RSBR" sheetId="19" r:id="rId6"/>
    <sheet name="CC21_24_OV24_DIVERSITY_TAB" sheetId="31" r:id="rId7"/>
    <sheet name="CC21_CC24_OV24_SCHEDULE_TAB" sheetId="32" r:id="rId8"/>
  </sheets>
  <definedNames>
    <definedName name="_xlnm._FilterDatabase" localSheetId="4" hidden="1">BCM_BECB_DB!$A$1:$Q$37</definedName>
    <definedName name="_xlnm._FilterDatabase" localSheetId="2" hidden="1">BCM_CSM!$A$1:$R$16</definedName>
    <definedName name="_xlnm._FilterDatabase" localSheetId="3" hidden="1">'BCM_FPAS '!$A$1:$R$23</definedName>
    <definedName name="_xlnm._FilterDatabase" localSheetId="5" hidden="1">BCM_RSBR!$A$1:$T$24</definedName>
    <definedName name="_xlnm._FilterDatabase" localSheetId="7" hidden="1">CC21_CC24_OV24_SCHEDULE_TAB!$A$1:$E$160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4" i="19" l="1"/>
</calcChain>
</file>

<file path=xl/sharedStrings.xml><?xml version="1.0" encoding="utf-8"?>
<sst xmlns="http://schemas.openxmlformats.org/spreadsheetml/2006/main" count="1300" uniqueCount="513">
  <si>
    <t>Document</t>
  </si>
  <si>
    <t>Author(s)</t>
  </si>
  <si>
    <t>Entity</t>
  </si>
  <si>
    <t>NDSA</t>
  </si>
  <si>
    <t>Name</t>
  </si>
  <si>
    <t>SEAR2_eSEAR2_BCM_LIN1_DB</t>
  </si>
  <si>
    <t>Reference</t>
  </si>
  <si>
    <t>Version</t>
  </si>
  <si>
    <t>Classification level</t>
  </si>
  <si>
    <t>Applicability</t>
  </si>
  <si>
    <t>Smartcar SCx</t>
  </si>
  <si>
    <t>Version No</t>
  </si>
  <si>
    <t>Date</t>
  </si>
  <si>
    <t>Change history</t>
  </si>
  <si>
    <t>Comments</t>
  </si>
  <si>
    <t>Initial draft version created</t>
  </si>
  <si>
    <t>24/06/2022</t>
  </si>
  <si>
    <t>1.Checksum and process counter signals are added as per functional safety requirement.
2.Traceability data has been updated.
3.CSM_FRONT_WIPER_STATUS signal state update 0011 from auto to auto/mist.
4.CSM_FRONT_WASHER_STATUS signal state added.
5.CSM_RESPONSE_ERROR signal is moved from 0x1C to 0x1F functional frame.
6.CSM_REAR_WIPER_WASHER_STATUS signal states update as follows:
  110: Rear Wiper Switch Faulty
  111: Rear Washer Switch Faulty
7.CDE_RESEAU_LIN_1 Frame added in 0x3B frame as master command from BCM at partial wakeup scenario for Combi waking up BCM.</t>
  </si>
  <si>
    <t>Combi switch updates</t>
  </si>
  <si>
    <t>1.0X34 frame ID Bit Byte position has been updated due to vehicle speed informtion signal properties.
2.FPAS_CAL_STATUS Signal added in 0x3A for calibration purpose.
3.FPAS_VEH_TYPE signal is added in 0x34 frame for sensor interchanged fault scenario based on the different varaints.
4.FPAS_ALARM_LEVEL signal has been added in 0x3A Frame ID for alarm level based on patterns.</t>
  </si>
  <si>
    <t>FPAS updates</t>
  </si>
  <si>
    <t>1.TRAILER_CONNECTION_STATUS signal in 0x34 frame ID has been removed as there is no functional requirement.
2.FPAS_ALARAM_LEVEL and FPAS_ACTIVATION_STATUS signals Bit byte position updated.</t>
  </si>
  <si>
    <t>15/06/2022</t>
  </si>
  <si>
    <t>1.Checksum INIT constant coloumn is added in DB.
2. LDF signal values have been updated according to LDF encoding as per latest LDF.</t>
  </si>
  <si>
    <t>BECB updates.</t>
  </si>
  <si>
    <t>25/08/2022</t>
  </si>
  <si>
    <t>Schedule Tables update according to program wise.</t>
  </si>
  <si>
    <t>Master schedule table seperation based on Program wise applicability.</t>
  </si>
  <si>
    <t>1.0</t>
  </si>
  <si>
    <t>1.CSM_MCU_Faults signal in 0x1F frame states have been modified.
2.E_CSM_PARK_LAMP_REQUEST signal Bit position has been corrected from 1 to 0 which is inlined with LDF.
3.CSM_REAR_WIPER_WASHER_STATUS signal states update as 
111: Rear Wiper/Washer Switch Faulty 
110: Reserved
4.CSM_TURN_INDICATOR_LANE_CHANGE_STATUS signal states update as the error states functionality is not possible to happen. 
0110 : Error state 1 changed to Reserved
1011: Error state 2 changed to Reserved
5. Partial wakeup scenario sequence updated.
6.CSM_LEFT_TRIP_SWITCH signal is removed as there is no Functional requirement linked.</t>
  </si>
  <si>
    <t>1.ETAT_SOC_4 DLC changed from 8 to 2.
2.ETAT_SOC name has been changed to IBS_FRAME as per STLA LDF.</t>
  </si>
  <si>
    <t>1.WIPER_STATUS and VEHICLE_SPEED_VALIDITY signals in 0x34 bit Typo has been corrected in BCM LDF. In the earlier LDF the bit positions in LDF were 18 and 20 now its corrected and aligned with component LDF 19 and 21.
2.AMBIENT_TEMP Signal in 0x34 frame initial value has been updated as 0xFC from 0x0.
3.FPAS_OBJECT_DIST signal initial value and maximum value has been updated.</t>
  </si>
  <si>
    <t>1.0x10 Frame byte positions has been changed for following signals aligned with PSA message matrix.
IHM_INHIB signal is changed from 0th byte to 1st byte.
RESP_ERROR_BMF is changed from 0th byte to 2nd byte.</t>
  </si>
  <si>
    <t>RSBR Update</t>
  </si>
  <si>
    <t>2.0</t>
  </si>
  <si>
    <t xml:space="preserve">1.FPAS_RESP_ERROR Signal in 0x3A frame is added as part of LIN protocol.
2.FPAS_VEH_TYPE signal in 0x34 frame signal states update to accommodate more vehicle variants. </t>
  </si>
  <si>
    <t>FPAS update</t>
  </si>
  <si>
    <t>22/08/2023</t>
  </si>
  <si>
    <t xml:space="preserve">1.FPAS_VEH_TYPE Signal in 0x34 state has been added in 0010 : F1H_FPAS. </t>
  </si>
  <si>
    <t>27/10/2023</t>
  </si>
  <si>
    <t>1.Included the signal INFO_COM_OFF in the frame 0x3B, with FPAS as receiver</t>
  </si>
  <si>
    <t>2.Included the signals INTERD_MEMO_DEF and DEM_EFFAC_DEF in the frame 0x34</t>
  </si>
  <si>
    <t>3.Frame 0x1D added in the WAKEUP_FILTERING_SCHEDULE_TABLE</t>
  </si>
  <si>
    <t>BCM Update</t>
  </si>
  <si>
    <t>4.Change the signal value of the signal CSM_REAR_WIPER_WASHER_STATUS</t>
  </si>
  <si>
    <t>CSM Update</t>
  </si>
  <si>
    <t>14/11/2023</t>
  </si>
  <si>
    <t>New release without change</t>
  </si>
  <si>
    <t xml:space="preserve">Frame ID </t>
  </si>
  <si>
    <t>Frame Name</t>
  </si>
  <si>
    <t>Frame length</t>
  </si>
  <si>
    <t>Signal</t>
  </si>
  <si>
    <t>Description</t>
  </si>
  <si>
    <t xml:space="preserve">Byte </t>
  </si>
  <si>
    <t xml:space="preserve">Bit </t>
  </si>
  <si>
    <t>Length</t>
  </si>
  <si>
    <t>Type</t>
  </si>
  <si>
    <t>Value</t>
  </si>
  <si>
    <t>Minimum</t>
  </si>
  <si>
    <t>Maximum</t>
  </si>
  <si>
    <t>Resolution</t>
  </si>
  <si>
    <t>Offset</t>
  </si>
  <si>
    <t>Unit</t>
  </si>
  <si>
    <t>Checksum INIT Constant</t>
  </si>
  <si>
    <t>PROD_INIT(Tx init value)</t>
  </si>
  <si>
    <t>CONS_INIT(Rx init value)</t>
  </si>
  <si>
    <t>Signal Invalid value</t>
  </si>
  <si>
    <t>Transmitter</t>
  </si>
  <si>
    <t>Receiver</t>
  </si>
  <si>
    <t>Supplier Comments</t>
  </si>
  <si>
    <t>PSA /TCS Commnets</t>
  </si>
  <si>
    <t>Notes</t>
  </si>
  <si>
    <t>0x1F</t>
  </si>
  <si>
    <t>CSM_REQ_1Fh</t>
  </si>
  <si>
    <t>CSM_AUTO_PARK_LOW_BEAM</t>
  </si>
  <si>
    <t>Auto,low beam and park status</t>
  </si>
  <si>
    <t>BMP</t>
  </si>
  <si>
    <t>000 – Error state 4(all auto+park+low faulty)
001 – Auto/OFF
010 – Park/Position
011 – Error state 1(park+low faulty)
100 - Low Beam
101 - Error state 2(low+auto faulty)
110 - Error state 3(auto+park faulty)
111 – switch faulty status</t>
  </si>
  <si>
    <t>Non applicable</t>
  </si>
  <si>
    <t>CSM</t>
  </si>
  <si>
    <t>BCM</t>
  </si>
  <si>
    <t>CSM_HIGH_PASS_BEAM</t>
  </si>
  <si>
    <t>high beam and pass beam status</t>
  </si>
  <si>
    <t>000 - Reserved
001 - Pass Beam
010 - No Selection
011 – Reserved
100 – High Beam
101 - Error state 1
110 - Reserved
111 – switch faulty status</t>
  </si>
  <si>
    <t>CSM_MIST_STATUS</t>
  </si>
  <si>
    <t>Mist signal status</t>
  </si>
  <si>
    <t>00: Reserved
01:OFF
10:ON
11: Switch faulty</t>
  </si>
  <si>
    <t>CSM_TURN_INDICATOR_LANE_CHANGE_STATUS</t>
  </si>
  <si>
    <t>Tun indicators and lane change status</t>
  </si>
  <si>
    <t>0000: Reserved
0001: No Selection
0010: Turn Light - Left
0011: Turn Light – Left during Lane change
0100: Turn Light – Right
0101: Reserved
0110: Reserved
0111: Reserved
1000: Turn Light – Right during Lane change
1001: Reserved
1010: Reserved
1011: Reserved
1100: Reserved
1101: Reserved
1110: Reserved
1111: switch faulty status</t>
  </si>
  <si>
    <t>CSM_FOG_FRONT_REAR_STATUS</t>
  </si>
  <si>
    <t>Front and Rear fog status</t>
  </si>
  <si>
    <t>000 - Reserved
001 - No Selection
010 - Front fog ON
011 - Rear fog ON
100 - front off
101 - Rear off
110 - Error state 1(front/rear switch faulty)
111 – switch faulty status</t>
  </si>
  <si>
    <t>CSM_FRONT_WIPER_STATUS</t>
  </si>
  <si>
    <t xml:space="preserve">Front Wiper speed status </t>
  </si>
  <si>
    <t>0000: Reserved
0001: Off
0010: Intermittent
0011: Auto/Mist
0100: Low Speed
0101: Reserved
0110: Reserved
0111: Reserved
1000: High Speed
1001: Reserved
1010: Reserved
1011: Reserved
1100: Reserved
1101: Reserved
1110: Reserved
1111:  front wiper switch faulty</t>
  </si>
  <si>
    <t>CSM_REAR_WIPER_WASHER_STATUS</t>
  </si>
  <si>
    <t>Rear wiper and washer information</t>
  </si>
  <si>
    <t>000: Reserved
001: No Selection
010: Rear Wiper
011: Reserved
100: Rear Washers
101: Reserved
110: Rear wiper switch faulty
111: Rear Washer switch Faulty</t>
  </si>
  <si>
    <t>CSM_FRONT_WASHER_STATUS</t>
  </si>
  <si>
    <t>Front washer status</t>
  </si>
  <si>
    <t>00: Reserved
01: No selection
10:  Front Washer
11: Front washer switch faulty status</t>
  </si>
  <si>
    <t>CSM_RIGHT_TRIP_SWITCH</t>
  </si>
  <si>
    <t>Right trip switch</t>
  </si>
  <si>
    <t>00: Switch not pressed
01:Switch Short Press
10: Switch Long press
11: Switch faulty(stuck)</t>
  </si>
  <si>
    <t>CSM_MCU_Faults</t>
  </si>
  <si>
    <t>Combi switch module faults</t>
  </si>
  <si>
    <t>0000: No fault
0001:Overvoltage
0010:Undervoltage
0011:Watchdog_Reset
0100:ROM_Err
0101:RAM_Err
0110:EEPROM_Err
0111:Open_Circuit
1000:Short_Battery
1001:Short_Ground
1010:SBC_over_under_voltage_Err
1011:Stack_under_over_flow_Err
1100:internal_Clock_Err
1101:Register_Err
1110:Task_Err
1111:Reserved</t>
  </si>
  <si>
    <t>CSM_RESPONSE_ERROR</t>
  </si>
  <si>
    <t xml:space="preserve">Response error signal if any error in data field </t>
  </si>
  <si>
    <t>0: No error on the data field
1: error on the data field</t>
  </si>
  <si>
    <t>CSM_PROCESS_COUNTER</t>
  </si>
  <si>
    <t>Process counter - E2E protection PSA specific protocol</t>
  </si>
  <si>
    <t>UNM</t>
  </si>
  <si>
    <t xml:space="preserve">Non applicable </t>
  </si>
  <si>
    <t>CSM_CHKSUM</t>
  </si>
  <si>
    <t>Checksum - E2E protection PSA specific protocol,</t>
  </si>
  <si>
    <t>0x1C</t>
  </si>
  <si>
    <t>ETAT_REVEIL_CSM</t>
  </si>
  <si>
    <t>E_CSM_PARK_LAMP_REQUEST</t>
  </si>
  <si>
    <t>Flag indicating master wakeup event when there is request from user for park lamp in key off condition</t>
  </si>
  <si>
    <t>0:No request from user
1:Request from user</t>
  </si>
  <si>
    <t>0x3B</t>
  </si>
  <si>
    <t>CDE_RESEAU_LIN</t>
  </si>
  <si>
    <t>CDE_PV_LIN</t>
  </si>
  <si>
    <t>LIN wake up command</t>
  </si>
  <si>
    <t>0: Preparing for shift to standby
1: Waking authorized
255: Invalid</t>
  </si>
  <si>
    <t>0x1</t>
  </si>
  <si>
    <t>0x09</t>
  </si>
  <si>
    <t>CSM_Traceability_Info_1</t>
  </si>
  <si>
    <t>CSM_BCM_PDEF_NUM</t>
  </si>
  <si>
    <t>HW reference-PDEF (Functional Plan number)</t>
  </si>
  <si>
    <t>CSM_BCM_ECU_MFD_DAY</t>
  </si>
  <si>
    <t>ECU Manufacturing Date</t>
  </si>
  <si>
    <t>CSM_BCM_ECU_MFD_MONTH</t>
  </si>
  <si>
    <t>ECU Manufacturing Month</t>
  </si>
  <si>
    <t>CSM_BCM_ECU_MFD_YEAR</t>
  </si>
  <si>
    <t>ECU Manufacturing Year</t>
  </si>
  <si>
    <t>0x08</t>
  </si>
  <si>
    <t>CSM_Traceability_Info_2</t>
  </si>
  <si>
    <t>CSM_BCM_PREAL_NUM</t>
  </si>
  <si>
    <t>HW reference-PREAL (Functional Product number)</t>
  </si>
  <si>
    <t>CSM_BCM_SUP_CODE</t>
  </si>
  <si>
    <t>Supplier code</t>
  </si>
  <si>
    <t>0x07</t>
  </si>
  <si>
    <t>CSM_Traceability_Info_3</t>
  </si>
  <si>
    <t>CSM_BCM_SRL_NUM_1</t>
  </si>
  <si>
    <t>Serial Number</t>
  </si>
  <si>
    <t>0x06</t>
  </si>
  <si>
    <t>CSM_Traceability_Info_4</t>
  </si>
  <si>
    <t>CSM_BCM_SRL_NUM_2</t>
  </si>
  <si>
    <t>0x05</t>
  </si>
  <si>
    <t>CSM_Traceability_Info_5</t>
  </si>
  <si>
    <t>CSM_BCM_SRL_NUM_3</t>
  </si>
  <si>
    <t>Signal name</t>
  </si>
  <si>
    <t>Signal description</t>
  </si>
  <si>
    <t>Signal type</t>
  </si>
  <si>
    <t>Signal states</t>
  </si>
  <si>
    <t>Initial value</t>
  </si>
  <si>
    <t xml:space="preserve">Minimum value </t>
  </si>
  <si>
    <t>Maximum value</t>
  </si>
  <si>
    <t>0X3A</t>
  </si>
  <si>
    <t>FPAS_SENSOR_INFO</t>
  </si>
  <si>
    <t>FRONT_LEFT_SENSOR_STATUS</t>
  </si>
  <si>
    <t>Front left sensor status</t>
  </si>
  <si>
    <t>BPM</t>
  </si>
  <si>
    <t>0: Sensor OK
1: Sensor Not Good</t>
  </si>
  <si>
    <t>0x0</t>
  </si>
  <si>
    <t>NA</t>
  </si>
  <si>
    <t>FPAS</t>
  </si>
  <si>
    <t>FRONT_LEFT_MIDDLE_SENSOR_STATUS</t>
  </si>
  <si>
    <t>Front middle left sensor status</t>
  </si>
  <si>
    <t>FRONT_RIGHT_MIDDLE_SENSOR_STATUS</t>
  </si>
  <si>
    <t>Front middle right sensor status</t>
  </si>
  <si>
    <t>FRONT_RIGHT_SENSOR_STATUS</t>
  </si>
  <si>
    <t>Front right sensor status</t>
  </si>
  <si>
    <t>FPAS_FL_DETECT_INFO</t>
  </si>
  <si>
    <t>Detect Information of Front left sensor</t>
  </si>
  <si>
    <t>000: No object
001: Zone 1
010: Zone 2
011 : Zone 3
100 : Zone 4
101 : Reserved
110: Reserved
111 : Reserved</t>
  </si>
  <si>
    <t>FPAS_FLM_DETECT_INFO</t>
  </si>
  <si>
    <t>Detect Information of Front left middle sensor</t>
  </si>
  <si>
    <t>FPAS_FRM_DETECT_INFO</t>
  </si>
  <si>
    <t>Detect Information of Front right middle  sensor</t>
  </si>
  <si>
    <t>FPAS_FR_DETECT_INFO</t>
  </si>
  <si>
    <t>Detect Information of Front right sensor</t>
  </si>
  <si>
    <t>FPAS_ACTIVATION_STATUS</t>
  </si>
  <si>
    <t>Activation status</t>
  </si>
  <si>
    <t>00: Deactivated
01: Activated
10: System Error
11: Reserved</t>
  </si>
  <si>
    <t>FPAS_ALARM_LEVEL</t>
  </si>
  <si>
    <t>Alarm level based on pattern information</t>
  </si>
  <si>
    <t>000: No request
001: FPAS pattern 4
010: FPAS pattern 3
011: FPAS pattern 2
100: FPAS pattern 1
101: Reserved
110: Reserved
111: Reserved</t>
  </si>
  <si>
    <t>FPAS_OBJECT_DIST</t>
  </si>
  <si>
    <t>Object distance information</t>
  </si>
  <si>
    <t xml:space="preserve">Non applicable
</t>
  </si>
  <si>
    <t>0xFF</t>
  </si>
  <si>
    <t>cm</t>
  </si>
  <si>
    <t>FPAS_CAL_STATUS</t>
  </si>
  <si>
    <t xml:space="preserve">Calibration status
</t>
  </si>
  <si>
    <t>00: Not Calibrated
01: Calibrated
10: Incorrect Calibration
11: Reserved</t>
  </si>
  <si>
    <t>FPAS_RESP_ERROR</t>
  </si>
  <si>
    <t>Response error</t>
  </si>
  <si>
    <t>0: No error
1: Error</t>
  </si>
  <si>
    <t>0X34</t>
  </si>
  <si>
    <t>BCM_FPAS_INFO</t>
  </si>
  <si>
    <t>VEHICLE_SPEED</t>
  </si>
  <si>
    <t xml:space="preserve">Vehicle speed information
</t>
  </si>
  <si>
    <t>km/h</t>
  </si>
  <si>
    <t>TM_GEAR_POSITION</t>
  </si>
  <si>
    <t xml:space="preserve">Gear position information
</t>
  </si>
  <si>
    <t xml:space="preserve">0: Forward range or D
1:  Reverse gear or N or P
</t>
  </si>
  <si>
    <t>WIPER_STATUS</t>
  </si>
  <si>
    <t>Wiper status</t>
  </si>
  <si>
    <t>0: Wiper ON
01: Wiper OFF
10: Wiper Faulty
11: Reserved</t>
  </si>
  <si>
    <t>VEHICLE_SPEED_VALIDITY</t>
  </si>
  <si>
    <t>Speed validity</t>
  </si>
  <si>
    <t>00: Invalid
01: Speed information available
10: Speed information unavailable
11: Invalid</t>
  </si>
  <si>
    <t>AMBIENT_TEMP</t>
  </si>
  <si>
    <t>Ambient temperature</t>
  </si>
  <si>
    <t xml:space="preserve"> UNM</t>
  </si>
  <si>
    <t>0xFC</t>
  </si>
  <si>
    <t>Degree C</t>
  </si>
  <si>
    <t>FPAS_VEH_TYPE</t>
  </si>
  <si>
    <t>Based on Vehicle variant</t>
  </si>
  <si>
    <t>0000: CC24
0001: OV24
0010: F1H_FPAS
0011: Reserved
0100: Reserved
0101: Reserved
0110: Reserved
0111: Reserved
1000: Reserved
1001: Reserved
1010: Reserved
1011 : Reserved
1100: Reserved
1101: Reserved
1110: Reserved
1111: Reserved</t>
  </si>
  <si>
    <t>INTERD_MEMO_DEF</t>
  </si>
  <si>
    <t>Prohibition of fault memorisation</t>
  </si>
  <si>
    <t>0: Fault memorisation Disactivation
1: Fault memorisation Activation</t>
  </si>
  <si>
    <t>DEM_EFFAC_DEF</t>
  </si>
  <si>
    <t>Global fault clearing</t>
  </si>
  <si>
    <t>0: Fault clearing No request
1: Fault Clearing Request</t>
  </si>
  <si>
    <t>INFO_COM_OFF</t>
  </si>
  <si>
    <t>0:Not activated
1: Activated</t>
  </si>
  <si>
    <t>Signal States</t>
  </si>
  <si>
    <t>PROD_INIT(transmitter ECU initial value)</t>
  </si>
  <si>
    <t>Reserved</t>
  </si>
  <si>
    <t>0x20</t>
  </si>
  <si>
    <t>IBS_FRAME_1</t>
  </si>
  <si>
    <t>UBATT</t>
  </si>
  <si>
    <t>Battery voltage</t>
  </si>
  <si>
    <t>Non Applicable</t>
  </si>
  <si>
    <t>3</t>
  </si>
  <si>
    <t>18</t>
  </si>
  <si>
    <t>V</t>
  </si>
  <si>
    <t>0x3FFF</t>
  </si>
  <si>
    <t>[0x3A99 ; 0x3FFE]</t>
  </si>
  <si>
    <t>BECB</t>
  </si>
  <si>
    <t>CALIBRE_IBATT</t>
  </si>
  <si>
    <t>Current range of IBATT</t>
  </si>
  <si>
    <t>00 : [-1 A ; +1 A]
01 : [-200 A ; +200 A]
10 : [-1500 A ; +1500 A]
11 : Invalide</t>
  </si>
  <si>
    <t>0</t>
  </si>
  <si>
    <t>0b11</t>
  </si>
  <si>
    <t>IBATT</t>
  </si>
  <si>
    <t>Battery current</t>
  </si>
  <si>
    <t>0xFFFF</t>
  </si>
  <si>
    <t>TBATT</t>
  </si>
  <si>
    <t>Battery temperature</t>
  </si>
  <si>
    <t>-40</t>
  </si>
  <si>
    <t>105</t>
  </si>
  <si>
    <t>°C</t>
  </si>
  <si>
    <t>[0x92 ; 0xFE]</t>
  </si>
  <si>
    <t>TBATT_FAULT</t>
  </si>
  <si>
    <t>Battery temperature signal fault status</t>
  </si>
  <si>
    <t>000 : Not available
001 : No fault
010: Reserved
011 : Reserved
100 : Reserved
101 : out of range too low
110 : out of range too high
111 : unspecified fault</t>
  </si>
  <si>
    <t>7</t>
  </si>
  <si>
    <t>0b000</t>
  </si>
  <si>
    <t>STATUS_TBATT</t>
  </si>
  <si>
    <t>Battery temperature accuracy indication</t>
  </si>
  <si>
    <t>00 : nominal
01 : degraded
10 : fault
11 : invalid</t>
  </si>
  <si>
    <t>SOC_ERROR</t>
  </si>
  <si>
    <t>Calculated battery SOC inacurracy expressed as % value</t>
  </si>
  <si>
    <t>14</t>
  </si>
  <si>
    <t>%</t>
  </si>
  <si>
    <t>0xF</t>
  </si>
  <si>
    <t>CHCKSUM_IBS_FRAME_1</t>
  </si>
  <si>
    <t xml:space="preserve"> Checksum - E2E protection PSA specific protocol</t>
  </si>
  <si>
    <t>0x02</t>
  </si>
  <si>
    <t>CPT_PROCESS_IBS_FRAME_1</t>
  </si>
  <si>
    <t xml:space="preserve"> Process counter - E2E protection PSA specific protocol</t>
  </si>
  <si>
    <t>0x21</t>
  </si>
  <si>
    <t>IBS_FRAME_2</t>
  </si>
  <si>
    <t>U_PRED_REDEMARRAGE</t>
  </si>
  <si>
    <t>State of function, predicted minimum crank voltage</t>
  </si>
  <si>
    <t>13</t>
  </si>
  <si>
    <t>0x7FE</t>
  </si>
  <si>
    <t>[0x515 ; 0x7FD]</t>
  </si>
  <si>
    <t>0x7FF</t>
  </si>
  <si>
    <t>STATUS_SOC</t>
  </si>
  <si>
    <t>SOC accuracy indication</t>
  </si>
  <si>
    <t>00 : Nominal
01 : Degraded
10 : Fault
11 : Invalide</t>
  </si>
  <si>
    <t>SOH_STATUS</t>
  </si>
  <si>
    <t>SOH accuracy indication</t>
  </si>
  <si>
    <t>00 : Nominal
01 : Degraded
10 : fault
11 = Invalid</t>
  </si>
  <si>
    <t>LIN_ERROR_FLAG</t>
  </si>
  <si>
    <t>LIN 2.1 error flag</t>
  </si>
  <si>
    <t>0b0</t>
  </si>
  <si>
    <t>BAT_RES_INT_ESTIM</t>
  </si>
  <si>
    <t>Battery internal resistance based on crank pulse</t>
  </si>
  <si>
    <t>10</t>
  </si>
  <si>
    <t>mOhm</t>
  </si>
  <si>
    <t>0x3FE</t>
  </si>
  <si>
    <t>[0x3E9 ; 0x3FD]</t>
  </si>
  <si>
    <t>0x3FF</t>
  </si>
  <si>
    <t>VALEUR_SOC_ETENDUE</t>
  </si>
  <si>
    <t>Battery SOC</t>
  </si>
  <si>
    <t>100</t>
  </si>
  <si>
    <t>UBATT_FAULT</t>
  </si>
  <si>
    <t>Battery voltage signal fault status</t>
  </si>
  <si>
    <t>000 = Not available
001 = No fault
010 : Reseved
011 : Reserved
100 : Reserved
101 : out of range too low
110 : out of range too high
111 : unspecified fault</t>
  </si>
  <si>
    <t>I_VEILLE_MINI</t>
  </si>
  <si>
    <t>Minimum current in sleep mode</t>
  </si>
  <si>
    <t>1</t>
  </si>
  <si>
    <t>A</t>
  </si>
  <si>
    <t>0xFD</t>
  </si>
  <si>
    <t>[0xC9 ; 0xFC]</t>
  </si>
  <si>
    <t>BAT_SOH</t>
  </si>
  <si>
    <t xml:space="preserve">Calculated remaining battery capacity due to sulfation losses </t>
  </si>
  <si>
    <t>0x7F</t>
  </si>
  <si>
    <t>[0x65 ; 0x7E]</t>
  </si>
  <si>
    <t>IBATT_FAULT</t>
  </si>
  <si>
    <t>Battery current signal fault status</t>
  </si>
  <si>
    <t>S</t>
  </si>
  <si>
    <t>IBS_GENERIC_FAULT</t>
  </si>
  <si>
    <t>Fault status of Telecodage, ROM, RAM, Watchdog</t>
  </si>
  <si>
    <t>00000: No fault
00001: Frame Invalid
00010: ROM fault
00100: RAM fault
01000: Watchdog fault
10000: Telecodage fault</t>
  </si>
  <si>
    <t>31</t>
  </si>
  <si>
    <t>0b00000</t>
  </si>
  <si>
    <t>0x22</t>
  </si>
  <si>
    <t>IBS_FRAME_3</t>
  </si>
  <si>
    <t>CHCKSUM_IBS_FRAME_3</t>
  </si>
  <si>
    <t>Checksum - E2E protection PSA specific protocol</t>
  </si>
  <si>
    <t>0x04</t>
  </si>
  <si>
    <t>CPT_PROCESS_IBS_FRAME_3</t>
  </si>
  <si>
    <t>BAT_RINT_RIPPLE</t>
  </si>
  <si>
    <t>Battery internal resistance based on continuous U/I monitoring</t>
  </si>
  <si>
    <t>0xFD: Disconnected
0xFE: Not available
0xFF: Invalid</t>
  </si>
  <si>
    <t>2</t>
  </si>
  <si>
    <t>20</t>
  </si>
  <si>
    <t>0xFE</t>
  </si>
  <si>
    <t>[0xB5 ; 0xFC]</t>
  </si>
  <si>
    <t>BAT_U_MIN</t>
  </si>
  <si>
    <t>Minimum voltage measured on engine crank event</t>
  </si>
  <si>
    <t>BAT_I_MAX_LOW_CURRENT</t>
  </si>
  <si>
    <t>Maximum current measured on a low current pulse</t>
  </si>
  <si>
    <t>-120</t>
  </si>
  <si>
    <t>0x3E</t>
  </si>
  <si>
    <t>0x3D</t>
  </si>
  <si>
    <t>0x3F</t>
  </si>
  <si>
    <t>SOF_SAFETY</t>
  </si>
  <si>
    <t>[0xC8 ; 0xFD]</t>
  </si>
  <si>
    <t>BAT_I_MAX</t>
  </si>
  <si>
    <t>Maximum current measured on engine crank event</t>
  </si>
  <si>
    <t>-1500</t>
  </si>
  <si>
    <t>-300</t>
  </si>
  <si>
    <t>BAT_RINT_LOW_CUR_ST</t>
  </si>
  <si>
    <t>Status of BAT_RINT_LOW_CUR signal</t>
  </si>
  <si>
    <t>00 : Reliable
01 : Not done
10 : Not reliable
11 : Invalid</t>
  </si>
  <si>
    <t>0b01</t>
  </si>
  <si>
    <t>BAT_RINT_LOW_CUR</t>
  </si>
  <si>
    <t>Battery internal resistance based on a low current pulse</t>
  </si>
  <si>
    <t>5</t>
  </si>
  <si>
    <t>15</t>
  </si>
  <si>
    <t>0x7E</t>
  </si>
  <si>
    <t>[65 ; 7D]</t>
  </si>
  <si>
    <t>BAT_U_MIN_LOW_CURRENT</t>
  </si>
  <si>
    <t>Minimum voltage in a low current pulse event</t>
  </si>
  <si>
    <t>12.9</t>
  </si>
  <si>
    <t>0x1E</t>
  </si>
  <si>
    <t>BAT_RINT_RIPPLE_ST</t>
  </si>
  <si>
    <t>BAT_RINT_RIPPLE status of estimated accuracy</t>
  </si>
  <si>
    <t>00 : low error
01 : medium error
10 : high error
11 : highest error</t>
  </si>
  <si>
    <t>SOF_SAFETY_ST</t>
  </si>
  <si>
    <t>SOF_SAFETY status of estimated accuracy</t>
  </si>
  <si>
    <t>0x23</t>
  </si>
  <si>
    <t>IBS_FRAME_4</t>
  </si>
  <si>
    <t>BAT_AH_COUNTER</t>
  </si>
  <si>
    <t>Battery Ampere-hour throughput counter</t>
  </si>
  <si>
    <t>-50</t>
  </si>
  <si>
    <t>50</t>
  </si>
  <si>
    <t>Ah</t>
  </si>
  <si>
    <t>0x1FE</t>
  </si>
  <si>
    <t>[0x1F6 ; 0x1FD]</t>
  </si>
  <si>
    <t>0x1FF</t>
  </si>
  <si>
    <t>BAT_RINT_NORM</t>
  </si>
  <si>
    <t>Estimated battery internal resistance at 25°C and 100% SOC</t>
  </si>
  <si>
    <t>[0x65 ; 0x7D]</t>
  </si>
  <si>
    <t>0x1D</t>
  </si>
  <si>
    <t>WAKE_UP_REQUEST</t>
  </si>
  <si>
    <t>E_VALEUR_SEUIL</t>
  </si>
  <si>
    <t>0:no detection of step
1:SOC step crossed</t>
  </si>
  <si>
    <t>COMPTEUR_TENTATIVE_REVEIL</t>
  </si>
  <si>
    <t>#</t>
  </si>
  <si>
    <t>PROD_INIT</t>
  </si>
  <si>
    <t>CONS_INIT</t>
  </si>
  <si>
    <t>0x10</t>
  </si>
  <si>
    <t>ETAT_BMF</t>
  </si>
  <si>
    <t>IHM_INHIB</t>
  </si>
  <si>
    <t>Status of MMI inhibition</t>
  </si>
  <si>
    <t>00: Undefined
01: Reporting
10: No reporting
11: Fault</t>
  </si>
  <si>
    <t>0b10</t>
  </si>
  <si>
    <t>RSBR</t>
  </si>
  <si>
    <t>RESP_ERROR_BMF</t>
  </si>
  <si>
    <t>Answer on service request</t>
  </si>
  <si>
    <t>0: No detected error
1: Detected error</t>
  </si>
  <si>
    <t>0x30</t>
  </si>
  <si>
    <t>CDE_BMF</t>
  </si>
  <si>
    <t>ABPI</t>
  </si>
  <si>
    <t>Passenger airbag reporting inhibited</t>
  </si>
  <si>
    <t>0: Normal
1: Inhibited</t>
  </si>
  <si>
    <t>ACT_RBG_PASS</t>
  </si>
  <si>
    <t>Passenger airbag activation reporting</t>
  </si>
  <si>
    <t>0: Non activated
1: Activated</t>
  </si>
  <si>
    <t>ETAT_JN</t>
  </si>
  <si>
    <t>Day/Night status</t>
  </si>
  <si>
    <t>0: Day status
1: Night status</t>
  </si>
  <si>
    <t>OUCARD1</t>
  </si>
  <si>
    <t>Report that row 1 rear right belt forgotten</t>
  </si>
  <si>
    <t>0: Normal
1: Omission</t>
  </si>
  <si>
    <t>OUCARD1_CLIG</t>
  </si>
  <si>
    <t>Request to blink the row 1 rear right belt forgotten lamp</t>
  </si>
  <si>
    <t>0: Fixed lamp
1: Blinking lamp</t>
  </si>
  <si>
    <t>OUCARD2</t>
  </si>
  <si>
    <t>Report that row 2 rear right belt forgotten</t>
  </si>
  <si>
    <t>OUCARD2_CLIG</t>
  </si>
  <si>
    <t>Request to blink the row 2 rear right belt forgotten lamp</t>
  </si>
  <si>
    <t>OUCARG1</t>
  </si>
  <si>
    <t>Report that row 1 rear left belt forgotten</t>
  </si>
  <si>
    <t>OUCARG1_CLIG</t>
  </si>
  <si>
    <t>Request to blink the row 1 rear left belt forgotten lamp</t>
  </si>
  <si>
    <t>OUCARG2</t>
  </si>
  <si>
    <t>Report that row 2 rear left belt forgotten</t>
  </si>
  <si>
    <t>OUCARG2_CLIG</t>
  </si>
  <si>
    <t>Request to blink the row 2 rear left belt forgotten lamp</t>
  </si>
  <si>
    <t>OUCARM1</t>
  </si>
  <si>
    <t>Report that row 1 rear center belt forgotten</t>
  </si>
  <si>
    <t>OUCARM1_CLIG</t>
  </si>
  <si>
    <t>Request to blink the row 1 rear center belt forgotten lamp</t>
  </si>
  <si>
    <t>OUCAVM</t>
  </si>
  <si>
    <t>Report front center belt forgotten</t>
  </si>
  <si>
    <t>OUCAVM_CLIG</t>
  </si>
  <si>
    <t>Request to blink the front center belt forgotten lamp</t>
  </si>
  <si>
    <t>OUCC</t>
  </si>
  <si>
    <t>Report driver belt forgotten</t>
  </si>
  <si>
    <t>OUCC_CLIG</t>
  </si>
  <si>
    <t>Request to blink driver belt forgotten lamp</t>
  </si>
  <si>
    <t>OUCP</t>
  </si>
  <si>
    <t>Reports passenger belt forgotten</t>
  </si>
  <si>
    <t>OUCP_CLIG</t>
  </si>
  <si>
    <t>Request to blink passenger belt forgotten lamp</t>
  </si>
  <si>
    <t>TYPE_CLIGNOT_TEM_INHIB</t>
  </si>
  <si>
    <t>Type of  lighting for the information  of the ACTIV/INHIB PASSENGER AIRBAG function</t>
  </si>
  <si>
    <t>0: FIX LED
1: BLINKING LED</t>
  </si>
  <si>
    <t>TYPE_DIR</t>
  </si>
  <si>
    <t>Type of steering of the vehicle</t>
  </si>
  <si>
    <t>00: Invalid
01: Steering right
10: Steering left
11: Invalid</t>
  </si>
  <si>
    <t>CC21</t>
  </si>
  <si>
    <t>Table Name</t>
  </si>
  <si>
    <t>CC21_CC24_OV24_SCHEDULE_TABLE_1</t>
  </si>
  <si>
    <t>CC24_OV24</t>
  </si>
  <si>
    <t>CC24_OV24_SCHEDULE_TABLE_2</t>
  </si>
  <si>
    <t>NOTE: Other components on LIN 1 are not having any diversity except FPAS which is not available in CC21 vehicle.</t>
  </si>
  <si>
    <t>S.No</t>
  </si>
  <si>
    <t xml:space="preserve">Requirement </t>
  </si>
  <si>
    <t>Functional schedule table selection based on DOTE parameter</t>
  </si>
  <si>
    <t>This Functional schedule tables need to be executed when BCM is in main wake up condition (IGN ON) and Headers need to be scheduled as per table from BCM.</t>
  </si>
  <si>
    <t>Frame name</t>
  </si>
  <si>
    <t>Transmission delay(ms)</t>
  </si>
  <si>
    <t>Slot duration(ms)</t>
  </si>
  <si>
    <t>IBS_FRAME_1 (0x20)</t>
  </si>
  <si>
    <t>CDE_BMF(0x30)</t>
  </si>
  <si>
    <t>CSM_REQ_1Fh (0x1F)</t>
  </si>
  <si>
    <t>ETAT_BMF(0x10)</t>
  </si>
  <si>
    <t>IBS_FRAME_2 (0x21)</t>
  </si>
  <si>
    <t>IBS_FRAME_4 (0x23)</t>
  </si>
  <si>
    <t>Repeat sequence</t>
  </si>
  <si>
    <t>BCM_FPAS_INFO (0X34)</t>
  </si>
  <si>
    <t>FPAS_SENSOR_INFO(0x3A)</t>
  </si>
  <si>
    <t>IBS_FRAME_3 (0x22)</t>
  </si>
  <si>
    <t>Partial network scenario (Refer LIN network life phases requirements)</t>
  </si>
  <si>
    <t>In partial network scenario where slave ECU is capable of waking up the Master ECU (BCM) at IGN OFF condition.
When user gives the input of park lamp the following is the 6 step sequence which needs to be executed:</t>
  </si>
  <si>
    <r>
      <rPr>
        <sz val="11"/>
        <color rgb="FF000000"/>
        <rFont val="Calibri"/>
        <scheme val="minor"/>
      </rPr>
      <t xml:space="preserve">According to LIN Network Life Phase specifications after user action has given then hardware pulse should be given to BCM in order to schedule below headers for IGN OFF scenario.
</t>
    </r>
    <r>
      <rPr>
        <sz val="11"/>
        <color rgb="FFFF0000"/>
        <rFont val="Calibri"/>
        <scheme val="minor"/>
      </rPr>
      <t>Step 1</t>
    </r>
    <r>
      <rPr>
        <sz val="11"/>
        <color rgb="FF000000"/>
        <rFont val="Calibri"/>
        <scheme val="minor"/>
      </rPr>
      <t xml:space="preserve"> :When User is giving park lamp input from combi a PWM (pulse) or voltage spike which contains ON and OFF times mentioned in LIN wakeup spec attaching the screenshot from spec.
When input is given from CSM or BECB it is not mandatory to complete the sequence mentioned below from the wakeup event slave can be able to give that pulse based on Tinit_LIN time for master wakeup based on the slave hardware capability generic range has been mentioned in the specification.</t>
    </r>
  </si>
  <si>
    <r>
      <rPr>
        <sz val="11"/>
        <color rgb="FFFF0000"/>
        <rFont val="Calibri"/>
        <scheme val="minor"/>
      </rPr>
      <t>Step 2</t>
    </r>
    <r>
      <rPr>
        <sz val="11"/>
        <color rgb="FF000000"/>
        <rFont val="Calibri"/>
        <scheme val="minor"/>
      </rPr>
      <t xml:space="preserve"> :  After step 1 BCM will be awake and next action performed is BCM should send Wakeup filtering schedule table then partial wakeup header 0x1C which has a signal E_CSM_PARK_LAMP_REQUEST state will be sent as 1 as a response from CSM. Same case on header 0x1D which has the signal E_VALEUR_SEUIL as a response from BECB.</t>
    </r>
  </si>
  <si>
    <t xml:space="preserve">Table 1 </t>
  </si>
  <si>
    <t>WAKEUP_FILTERING_SCHEDULE_TABLE</t>
  </si>
  <si>
    <t>ETAT_REVEIL_CSM (0x1C)</t>
  </si>
  <si>
    <t>WAKE_UP_REQUEST (0x1D)</t>
  </si>
  <si>
    <r>
      <rPr>
        <sz val="11"/>
        <color rgb="FFFF0000"/>
        <rFont val="Calibri"/>
        <scheme val="minor"/>
      </rPr>
      <t>Step 3</t>
    </r>
    <r>
      <rPr>
        <sz val="11"/>
        <color rgb="FF000000"/>
        <rFont val="Calibri"/>
        <scheme val="minor"/>
      </rPr>
      <t xml:space="preserve">: After step 2 when combi provides the response to BCM then BCM will switch to Valid Wakeup schedule table in which CDE_RESEAU_LIN (0x3B) will have CDE_PV_LIN signal will send the state as 1 that indicates a valid wakeup condition and acts as a authorization from Master to slave for the valid slave input given from user. BECB does not receive this confirmation from BCM. </t>
    </r>
    <r>
      <rPr>
        <b/>
        <sz val="11"/>
        <color rgb="FF000000"/>
        <rFont val="Calibri"/>
        <scheme val="minor"/>
      </rPr>
      <t>Then BCM should switch back to Functional schedule table</t>
    </r>
    <r>
      <rPr>
        <sz val="11"/>
        <color rgb="FF000000"/>
        <rFont val="Calibri"/>
        <scheme val="minor"/>
      </rPr>
      <t xml:space="preserve"> which is intended to the vehicle variant based on DOTE Parameter after transmission of valid wakeup schedule table. 
</t>
    </r>
  </si>
  <si>
    <t xml:space="preserve">Table 2 </t>
  </si>
  <si>
    <t>VALID_WAKEUP_SCHEDULE_TABLE</t>
  </si>
  <si>
    <t>CDE_RESEAU_LIN (0x3B)</t>
  </si>
  <si>
    <r>
      <rPr>
        <sz val="11"/>
        <color rgb="FFFF0000"/>
        <rFont val="Calibri"/>
        <family val="2"/>
        <scheme val="minor"/>
      </rPr>
      <t>Step 4</t>
    </r>
    <r>
      <rPr>
        <sz val="11"/>
        <color theme="1"/>
        <rFont val="Calibri"/>
        <family val="2"/>
        <scheme val="minor"/>
      </rPr>
      <t>: Due to some condition there if the pulse given by combi is not authorized by BCM in CDE_PV_LIN signal  then there will be a counter in BCM as CPT_MAX_REVEIL_LIN_INTEMPESTIF which will have the maximum value as 5 after the counter maximum value is reached then partial wakeup scenario cannot work beyond 5 inputs counter will not increase and no action will be performed despite the input from combi, To perform partial wakeup again BCM should be IGN ON and functional schedule table should be run at least once then Counter CPT_MAX_REVEIL_LIN_INTEMPESTIF will be reset to 0 for allowing further partial wakeup inputs from combi.
Please refer 96.648.783.9E.OR_ST_Reseau_LIN-Phases_de_vie_reseau_LIN_2.1 for further details.</t>
    </r>
  </si>
  <si>
    <r>
      <rPr>
        <sz val="11"/>
        <color rgb="FFFF0000"/>
        <rFont val="Calibri"/>
        <scheme val="minor"/>
      </rPr>
      <t>Step 5</t>
    </r>
    <r>
      <rPr>
        <sz val="11"/>
        <color rgb="FF000000"/>
        <rFont val="Calibri"/>
        <scheme val="minor"/>
      </rPr>
      <t>: If no valid wakeup condition then BCM should switch to sleep schedule table in which CDE_RESEAU_LIN (0x3B) with CDE_PV_LIN should send the value as 0 and initiate the sleep sequence and by following the LIN 2.1 protocol for going to sleep. BECB does not receive this confirmation from BCM.</t>
    </r>
  </si>
  <si>
    <t>Table 3</t>
  </si>
  <si>
    <t>SLEEP_SCHEDULE_TABLE</t>
  </si>
  <si>
    <r>
      <rPr>
        <sz val="10"/>
        <color rgb="FFFF0000"/>
        <rFont val="Arial"/>
      </rPr>
      <t>Step 6</t>
    </r>
    <r>
      <rPr>
        <sz val="10"/>
        <color rgb="FF000000"/>
        <rFont val="Arial"/>
      </rPr>
      <t>: After the step 3 has been executed when BCM sends 0 state which is waking not authorized in CDE_PV_LIN signal in CDE_RESEAU_LIN (0x3B) frame then according to LIN 2.1 protocol Sleep sequence need to be initiated which is attached in below screenshot.</t>
    </r>
  </si>
  <si>
    <t>Traceability schedule table information</t>
  </si>
  <si>
    <t>In LIN1 Traceability schedule table information need to be transmitted at EOL (end of line) when Diag TOOL sends request to BCM for Traceability information of combi switch.</t>
  </si>
  <si>
    <t>TRACEABILITY_SCHEDULE_TABLE</t>
  </si>
  <si>
    <t>CSM_Traceability_Info_1 (0x09)</t>
  </si>
  <si>
    <t>CSM_Traceability_Info_2 (0x08)</t>
  </si>
  <si>
    <t>CSM_Traceability_Info_3 (0x07)</t>
  </si>
  <si>
    <t>CSM_Traceability_Info_4 (0x06)</t>
  </si>
  <si>
    <t>CSM_Traceability_Info_5 (0x05)</t>
  </si>
  <si>
    <t xml:space="preserve">Fault handling requirements </t>
  </si>
  <si>
    <t>When BCM schedules any header for slave if any slave is non responsive missing message failure will associated with it. To implement this kindly refer Communication rules specification.</t>
  </si>
  <si>
    <t>Repetition (ms)</t>
  </si>
  <si>
    <t>Pause</t>
  </si>
  <si>
    <t>-</t>
  </si>
  <si>
    <t>Slot duration (ms)</t>
  </si>
  <si>
    <t>Transmission delay (ms)</t>
  </si>
  <si>
    <t>Updated CC21_CC24_OV24_SCHEDULE_TABLE_1 and CC24_OV24_SCHEDULE_TABLE_2.
It was changed the IBS_FRAME_1,  IBS_FRAME_2,  IBS_FRAME_3 and  IBS_FRAME_4 repetition from 400ms to 100ms.</t>
  </si>
  <si>
    <t>Paulo V. G. Silva / Marcello Araujo</t>
  </si>
  <si>
    <t>01302_23_01075</t>
  </si>
  <si>
    <t>ISS-0255220
(BECB Frames Repetition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</si>
</sst>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0\ [$€-1]_-;\-* #,##0.00\ [$€-1]_-;_-* &quot;-&quot;??\ [$€-1]_-"/>
  </numFmts>
  <fonts count="31">
    <font>
      <sz val="11"/>
      <color theme="1"/>
      <name val="Calibri"/>
      <family val="2"/>
      <scheme val="minor"/>
    </font>
    <font>
      <sz val="11"/>
      <color theme="1"/>
      <name val="Calibri"/>
      <scheme val="minor"/>
    </font>
    <font>
      <sz val="11"/>
      <color theme="1"/>
      <name val="Calibri"/>
      <scheme val="minor"/>
    </font>
    <font>
      <b/>
      <sz val="10"/>
      <color theme="1"/>
      <name val="Calibri"/>
      <family val="2"/>
      <scheme val="minor"/>
    </font>
    <font>
      <sz val="10"/>
      <name val="Calibri"/>
      <family val="2"/>
      <scheme val="minor"/>
    </font>
    <font>
      <sz val="10"/>
      <color theme="1"/>
      <name val="Calibri"/>
      <family val="2"/>
      <scheme val="minor"/>
    </font>
    <font>
      <sz val="11"/>
      <name val="ＭＳ Ｐゴシック"/>
      <charset val="134"/>
    </font>
    <font>
      <sz val="10"/>
      <name val="Arial"/>
      <family val="2"/>
    </font>
    <font>
      <sz val="10"/>
      <color theme="1"/>
      <name val="Arial"/>
      <family val="2"/>
    </font>
    <font>
      <b/>
      <sz val="11"/>
      <name val="Arial"/>
      <family val="2"/>
    </font>
    <font>
      <sz val="11"/>
      <name val="Arial"/>
      <family val="2"/>
    </font>
    <font>
      <b/>
      <sz val="11"/>
      <color indexed="9"/>
      <name val="Arial"/>
      <family val="2"/>
    </font>
    <font>
      <b/>
      <sz val="11"/>
      <color indexed="10"/>
      <name val="Arial"/>
      <family val="2"/>
    </font>
    <font>
      <sz val="11"/>
      <color rgb="FFFF0000"/>
      <name val="Calibri"/>
      <family val="2"/>
      <scheme val="minor"/>
    </font>
    <font>
      <b/>
      <sz val="11"/>
      <color theme="1"/>
      <name val="Calibri"/>
      <family val="2"/>
      <scheme val="minor"/>
    </font>
    <font>
      <sz val="11"/>
      <name val="Calibri"/>
      <family val="2"/>
      <scheme val="minor"/>
    </font>
    <font>
      <sz val="10"/>
      <color theme="0"/>
      <name val="Calibri"/>
      <family val="2"/>
      <scheme val="minor"/>
    </font>
    <font>
      <sz val="10"/>
      <color rgb="FF000000"/>
      <name val="Times New Roman"/>
      <family val="1"/>
    </font>
    <font>
      <sz val="11"/>
      <color rgb="FF000000"/>
      <name val="Times New Roman"/>
      <family val="1"/>
    </font>
    <font>
      <sz val="10"/>
      <color theme="1"/>
      <name val="Times New Roman"/>
      <family val="1"/>
    </font>
    <font>
      <sz val="11"/>
      <color rgb="FF444444"/>
      <name val="Calibri"/>
      <family val="2"/>
      <charset val="1"/>
    </font>
    <font>
      <sz val="11"/>
      <color rgb="FFFF0000"/>
      <name val="Calibri"/>
      <scheme val="minor"/>
    </font>
    <font>
      <b/>
      <sz val="11"/>
      <color theme="1"/>
      <name val="Calibri"/>
      <scheme val="minor"/>
    </font>
    <font>
      <sz val="11"/>
      <name val="Calibri"/>
      <scheme val="minor"/>
    </font>
    <font>
      <sz val="11"/>
      <color rgb="FF000000"/>
      <name val="Calibri"/>
      <scheme val="minor"/>
    </font>
    <font>
      <i/>
      <sz val="11"/>
      <color rgb="FF000000"/>
      <name val="Calibri"/>
      <scheme val="minor"/>
    </font>
    <font>
      <b/>
      <sz val="11"/>
      <color rgb="FF000000"/>
      <name val="Calibri"/>
      <scheme val="minor"/>
    </font>
    <font>
      <sz val="10"/>
      <color rgb="FFFF0000"/>
      <name val="Arial"/>
    </font>
    <font>
      <sz val="10"/>
      <color rgb="FF000000"/>
      <name val="Arial"/>
    </font>
    <font>
      <sz val="10"/>
      <color theme="1"/>
      <name val="Arial"/>
    </font>
    <font>
      <sz val="11"/>
      <color rgb="FF000000"/>
      <name val="Calibri"/>
      <family val="2"/>
      <charset val="1"/>
    </font>
  </fonts>
  <fills count="2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3" tint="0.59999389629810485"/>
        <bgColor indexed="64"/>
      </patternFill>
    </fill>
    <fill>
      <patternFill patternType="solid">
        <fgColor indexed="62"/>
        <bgColor indexed="64"/>
      </patternFill>
    </fill>
    <fill>
      <patternFill patternType="solid">
        <fgColor rgb="FFFFFFFF"/>
        <bgColor indexed="64"/>
      </patternFill>
    </fill>
    <fill>
      <patternFill patternType="solid">
        <fgColor theme="9" tint="0.39997558519241921"/>
        <bgColor indexed="64"/>
      </patternFill>
    </fill>
    <fill>
      <patternFill patternType="solid">
        <fgColor theme="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7"/>
        <bgColor indexed="64"/>
      </patternFill>
    </fill>
    <fill>
      <patternFill patternType="solid">
        <fgColor theme="6" tint="0.39997558519241921"/>
        <bgColor indexed="64"/>
      </patternFill>
    </fill>
    <fill>
      <patternFill patternType="solid">
        <fgColor theme="4"/>
        <bgColor indexed="64"/>
      </patternFill>
    </fill>
    <fill>
      <patternFill patternType="solid">
        <fgColor theme="5" tint="0.39997558519241921"/>
        <bgColor indexed="64"/>
      </patternFill>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theme="1"/>
      </left>
      <right style="thin">
        <color theme="1"/>
      </right>
      <top style="thin">
        <color theme="1"/>
      </top>
      <bottom style="medium">
        <color indexed="64"/>
      </bottom>
      <diagonal/>
    </border>
    <border>
      <left style="thin">
        <color theme="1"/>
      </left>
      <right style="thin">
        <color indexed="64"/>
      </right>
      <top style="thin">
        <color theme="1"/>
      </top>
      <bottom style="medium">
        <color indexed="64"/>
      </bottom>
      <diagonal/>
    </border>
    <border>
      <left style="thin">
        <color indexed="64"/>
      </left>
      <right style="thin">
        <color theme="1"/>
      </right>
      <top style="thin">
        <color theme="1"/>
      </top>
      <bottom style="medium">
        <color indexed="64"/>
      </bottom>
      <diagonal/>
    </border>
    <border>
      <left style="thin">
        <color theme="1"/>
      </left>
      <right style="thin">
        <color theme="1"/>
      </right>
      <top style="medium">
        <color indexed="64"/>
      </top>
      <bottom/>
      <diagonal/>
    </border>
    <border>
      <left style="thin">
        <color theme="1"/>
      </left>
      <right style="thin">
        <color theme="1"/>
      </right>
      <top/>
      <bottom style="thin">
        <color theme="1"/>
      </bottom>
      <diagonal/>
    </border>
    <border>
      <left style="thin">
        <color theme="1"/>
      </left>
      <right style="thin">
        <color theme="1"/>
      </right>
      <top style="medium">
        <color indexed="64"/>
      </top>
      <bottom style="thin">
        <color theme="1"/>
      </bottom>
      <diagonal/>
    </border>
    <border>
      <left/>
      <right style="thin">
        <color indexed="64"/>
      </right>
      <top/>
      <bottom style="medium">
        <color indexed="64"/>
      </bottom>
      <diagonal/>
    </border>
    <border>
      <left/>
      <right style="thin">
        <color theme="1"/>
      </right>
      <top style="thin">
        <color theme="1"/>
      </top>
      <bottom/>
      <diagonal/>
    </border>
    <border>
      <left/>
      <right style="thin">
        <color indexed="64"/>
      </right>
      <top/>
      <bottom/>
      <diagonal/>
    </border>
    <border>
      <left/>
      <right style="thin">
        <color theme="1"/>
      </right>
      <top style="thin">
        <color theme="1"/>
      </top>
      <bottom style="thin">
        <color theme="1"/>
      </bottom>
      <diagonal/>
    </border>
    <border>
      <left style="thin">
        <color theme="1"/>
      </left>
      <right style="thin">
        <color indexed="64"/>
      </right>
      <top style="thin">
        <color indexed="64"/>
      </top>
      <bottom style="thin">
        <color indexed="64"/>
      </bottom>
      <diagonal/>
    </border>
    <border>
      <left style="thin">
        <color theme="1"/>
      </left>
      <right/>
      <top/>
      <bottom/>
      <diagonal/>
    </border>
    <border>
      <left style="thin">
        <color theme="1"/>
      </left>
      <right style="thin">
        <color indexed="64"/>
      </right>
      <top/>
      <bottom style="thin">
        <color indexed="64"/>
      </bottom>
      <diagonal/>
    </border>
    <border>
      <left style="thin">
        <color indexed="64"/>
      </left>
      <right/>
      <top/>
      <bottom/>
      <diagonal/>
    </border>
    <border>
      <left/>
      <right style="thin">
        <color theme="1"/>
      </right>
      <top style="medium">
        <color indexed="64"/>
      </top>
      <bottom style="thin">
        <color theme="1"/>
      </bottom>
      <diagonal/>
    </border>
    <border>
      <left style="thin">
        <color indexed="64"/>
      </left>
      <right style="thin">
        <color theme="1"/>
      </right>
      <top style="medium">
        <color indexed="64"/>
      </top>
      <bottom style="thin">
        <color indexed="64"/>
      </bottom>
      <diagonal/>
    </border>
    <border>
      <left style="thin">
        <color theme="1"/>
      </left>
      <right style="thin">
        <color indexed="64"/>
      </right>
      <top style="medium">
        <color indexed="64"/>
      </top>
      <bottom style="thin">
        <color indexed="64"/>
      </bottom>
      <diagonal/>
    </border>
    <border>
      <left/>
      <right style="thin">
        <color indexed="64"/>
      </right>
      <top style="medium">
        <color indexed="64"/>
      </top>
      <bottom/>
      <diagonal/>
    </border>
    <border>
      <left style="thin">
        <color theme="1"/>
      </left>
      <right style="thin">
        <color theme="1"/>
      </right>
      <top/>
      <bottom style="medium">
        <color indexed="64"/>
      </bottom>
      <diagonal/>
    </border>
    <border>
      <left style="thin">
        <color indexed="64"/>
      </left>
      <right style="thin">
        <color theme="1"/>
      </right>
      <top style="thin">
        <color indexed="64"/>
      </top>
      <bottom style="medium">
        <color indexed="64"/>
      </bottom>
      <diagonal/>
    </border>
    <border>
      <left style="thin">
        <color theme="1"/>
      </left>
      <right style="thin">
        <color indexed="64"/>
      </right>
      <top/>
      <bottom style="medium">
        <color indexed="64"/>
      </bottom>
      <diagonal/>
    </border>
    <border>
      <left style="thin">
        <color theme="1"/>
      </left>
      <right style="thin">
        <color theme="1"/>
      </right>
      <top/>
      <bottom style="thin">
        <color indexed="64"/>
      </bottom>
      <diagonal/>
    </border>
    <border>
      <left style="thin">
        <color theme="1"/>
      </left>
      <right style="thin">
        <color indexed="64"/>
      </right>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theme="1"/>
      </left>
      <right style="thin">
        <color theme="1"/>
      </right>
      <top style="medium">
        <color indexed="64"/>
      </top>
      <bottom style="thin">
        <color indexed="64"/>
      </bottom>
      <diagonal/>
    </border>
    <border>
      <left style="thin">
        <color theme="1"/>
      </left>
      <right style="thin">
        <color indexed="64"/>
      </right>
      <top style="medium">
        <color indexed="64"/>
      </top>
      <bottom/>
      <diagonal/>
    </border>
    <border>
      <left style="thin">
        <color indexed="64"/>
      </left>
      <right style="thin">
        <color indexed="64"/>
      </right>
      <top style="thin">
        <color theme="1"/>
      </top>
      <bottom style="medium">
        <color indexed="64"/>
      </bottom>
      <diagonal/>
    </border>
    <border>
      <left style="thin">
        <color theme="1"/>
      </left>
      <right/>
      <top style="thin">
        <color theme="1"/>
      </top>
      <bottom/>
      <diagonal/>
    </border>
    <border>
      <left style="thin">
        <color theme="1"/>
      </left>
      <right style="thin">
        <color theme="1"/>
      </right>
      <top style="thin">
        <color theme="1"/>
      </top>
      <bottom/>
      <diagonal/>
    </border>
    <border>
      <left/>
      <right style="thin">
        <color indexed="64"/>
      </right>
      <top style="thin">
        <color theme="0"/>
      </top>
      <bottom/>
      <diagonal/>
    </border>
    <border>
      <left/>
      <right/>
      <top style="thin">
        <color auto="1"/>
      </top>
      <bottom style="thin">
        <color auto="1"/>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bottom style="medium">
        <color rgb="FF000000"/>
      </bottom>
      <diagonal/>
    </border>
    <border>
      <left style="thin">
        <color indexed="64"/>
      </left>
      <right style="thin">
        <color theme="1"/>
      </right>
      <top style="thin">
        <color theme="1"/>
      </top>
      <bottom style="medium">
        <color rgb="FF000000"/>
      </bottom>
      <diagonal/>
    </border>
    <border>
      <left style="thin">
        <color rgb="FF000000"/>
      </left>
      <right style="thin">
        <color rgb="FF000000"/>
      </right>
      <top/>
      <bottom style="thin">
        <color rgb="FF000000"/>
      </bottom>
      <diagonal/>
    </border>
  </borders>
  <cellStyleXfs count="6">
    <xf numFmtId="0" fontId="0" fillId="0" borderId="0"/>
    <xf numFmtId="0" fontId="6" fillId="0" borderId="0"/>
    <xf numFmtId="0" fontId="7" fillId="0" borderId="0"/>
    <xf numFmtId="0" fontId="7" fillId="0" borderId="0"/>
    <xf numFmtId="0" fontId="7" fillId="0" borderId="0"/>
    <xf numFmtId="165" fontId="7" fillId="0" borderId="0"/>
  </cellStyleXfs>
  <cellXfs count="289">
    <xf numFmtId="0" fontId="0" fillId="0" borderId="0" xfId="0"/>
    <xf numFmtId="0" fontId="5" fillId="0" borderId="1" xfId="0" applyFont="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left" wrapText="1"/>
    </xf>
    <xf numFmtId="0" fontId="5" fillId="0" borderId="1" xfId="0" applyFont="1" applyBorder="1" applyAlignment="1">
      <alignment horizontal="center"/>
    </xf>
    <xf numFmtId="0" fontId="0" fillId="0" borderId="1" xfId="0" applyBorder="1"/>
    <xf numFmtId="0" fontId="5" fillId="0" borderId="1" xfId="0" applyFont="1" applyBorder="1" applyAlignment="1">
      <alignment horizontal="left" vertical="top" wrapText="1"/>
    </xf>
    <xf numFmtId="0" fontId="9" fillId="0" borderId="0" xfId="4" applyFont="1" applyAlignment="1">
      <alignment vertical="center"/>
    </xf>
    <xf numFmtId="0" fontId="10" fillId="0" borderId="0" xfId="4" applyFont="1" applyAlignment="1">
      <alignment horizontal="center" vertical="center"/>
    </xf>
    <xf numFmtId="0" fontId="10" fillId="0" borderId="0" xfId="4" applyFont="1" applyAlignment="1">
      <alignment vertical="center"/>
    </xf>
    <xf numFmtId="0" fontId="10" fillId="0" borderId="0" xfId="4" applyFont="1" applyAlignment="1">
      <alignment horizontal="left" vertical="center"/>
    </xf>
    <xf numFmtId="0" fontId="0" fillId="7" borderId="1" xfId="0" applyFill="1" applyBorder="1"/>
    <xf numFmtId="0" fontId="0" fillId="0" borderId="8" xfId="0" applyBorder="1"/>
    <xf numFmtId="0" fontId="0" fillId="0" borderId="8" xfId="0" applyBorder="1" applyAlignment="1">
      <alignment horizontal="center"/>
    </xf>
    <xf numFmtId="0" fontId="5" fillId="0" borderId="8" xfId="0" applyFont="1" applyBorder="1" applyAlignment="1">
      <alignment horizontal="left"/>
    </xf>
    <xf numFmtId="0" fontId="5" fillId="0" borderId="1" xfId="0" applyFont="1" applyBorder="1" applyAlignment="1">
      <alignment horizontal="left" vertical="top"/>
    </xf>
    <xf numFmtId="0" fontId="5" fillId="0" borderId="9" xfId="0" applyFont="1" applyBorder="1" applyAlignment="1">
      <alignment horizontal="left" vertical="top"/>
    </xf>
    <xf numFmtId="0" fontId="5" fillId="0" borderId="9" xfId="0" applyFont="1" applyBorder="1" applyAlignment="1">
      <alignment horizontal="left"/>
    </xf>
    <xf numFmtId="0" fontId="0" fillId="0" borderId="10" xfId="0" applyBorder="1"/>
    <xf numFmtId="0" fontId="15" fillId="0" borderId="8" xfId="0" applyFont="1" applyBorder="1"/>
    <xf numFmtId="0" fontId="5" fillId="0" borderId="8" xfId="0" applyFont="1" applyBorder="1" applyAlignment="1">
      <alignment horizontal="left" vertical="top" wrapText="1"/>
    </xf>
    <xf numFmtId="0" fontId="5" fillId="0" borderId="8" xfId="0" applyFont="1" applyBorder="1" applyAlignment="1">
      <alignment horizontal="left" vertical="top"/>
    </xf>
    <xf numFmtId="0" fontId="4" fillId="0" borderId="8" xfId="0" applyFont="1" applyBorder="1"/>
    <xf numFmtId="0" fontId="15" fillId="0" borderId="4" xfId="0" applyFont="1" applyBorder="1"/>
    <xf numFmtId="0" fontId="5" fillId="0" borderId="4" xfId="0" applyFont="1" applyBorder="1" applyAlignment="1">
      <alignment horizontal="left"/>
    </xf>
    <xf numFmtId="0" fontId="0" fillId="0" borderId="4" xfId="0" applyBorder="1"/>
    <xf numFmtId="0" fontId="0" fillId="0" borderId="4" xfId="0" applyBorder="1" applyAlignment="1">
      <alignment horizontal="center"/>
    </xf>
    <xf numFmtId="0" fontId="5" fillId="0" borderId="4" xfId="0" applyFont="1" applyBorder="1" applyAlignment="1">
      <alignment horizontal="left" vertical="top" wrapText="1"/>
    </xf>
    <xf numFmtId="0" fontId="5" fillId="0" borderId="4" xfId="0" applyFont="1" applyBorder="1" applyAlignment="1">
      <alignment horizontal="left" vertical="top"/>
    </xf>
    <xf numFmtId="0" fontId="15" fillId="0" borderId="13" xfId="0" applyFont="1" applyBorder="1"/>
    <xf numFmtId="0" fontId="0" fillId="0" borderId="14" xfId="0" applyBorder="1"/>
    <xf numFmtId="0" fontId="0" fillId="0" borderId="13" xfId="0" applyBorder="1"/>
    <xf numFmtId="0" fontId="0" fillId="0" borderId="13" xfId="0" applyBorder="1" applyAlignment="1">
      <alignment horizontal="center"/>
    </xf>
    <xf numFmtId="49" fontId="0" fillId="0" borderId="13" xfId="0" applyNumberFormat="1" applyBorder="1" applyAlignment="1">
      <alignment horizontal="center"/>
    </xf>
    <xf numFmtId="0" fontId="15" fillId="0" borderId="16" xfId="0" applyFont="1" applyBorder="1"/>
    <xf numFmtId="0" fontId="0" fillId="0" borderId="17" xfId="0" applyBorder="1"/>
    <xf numFmtId="0" fontId="15" fillId="0" borderId="17" xfId="0" applyFont="1" applyBorder="1" applyAlignment="1">
      <alignment horizontal="left"/>
    </xf>
    <xf numFmtId="0" fontId="15" fillId="0" borderId="18" xfId="0" applyFont="1" applyBorder="1" applyAlignment="1">
      <alignment horizontal="center"/>
    </xf>
    <xf numFmtId="0" fontId="5" fillId="0" borderId="9" xfId="0" applyFont="1" applyBorder="1" applyAlignment="1">
      <alignment horizontal="left" vertical="top" wrapText="1"/>
    </xf>
    <xf numFmtId="0" fontId="0" fillId="0" borderId="18" xfId="0" applyBorder="1" applyAlignment="1">
      <alignment horizontal="center"/>
    </xf>
    <xf numFmtId="0" fontId="0" fillId="0" borderId="18" xfId="0" applyBorder="1"/>
    <xf numFmtId="0" fontId="4" fillId="0" borderId="18" xfId="0" applyFont="1" applyBorder="1"/>
    <xf numFmtId="0" fontId="15" fillId="0" borderId="13" xfId="0" applyFont="1" applyBorder="1" applyAlignment="1">
      <alignment horizontal="left"/>
    </xf>
    <xf numFmtId="0" fontId="5" fillId="0" borderId="8" xfId="0" applyFont="1" applyBorder="1" applyAlignment="1">
      <alignment horizontal="left" wrapText="1"/>
    </xf>
    <xf numFmtId="0" fontId="15" fillId="0" borderId="13" xfId="0" applyFont="1" applyBorder="1" applyAlignment="1">
      <alignment horizontal="center"/>
    </xf>
    <xf numFmtId="0" fontId="15" fillId="0" borderId="10" xfId="0" applyFont="1" applyBorder="1"/>
    <xf numFmtId="0" fontId="15" fillId="0" borderId="10" xfId="0" applyFont="1" applyBorder="1" applyAlignment="1">
      <alignment horizontal="left"/>
    </xf>
    <xf numFmtId="0" fontId="0" fillId="0" borderId="10" xfId="0" applyBorder="1" applyAlignment="1">
      <alignment horizontal="center"/>
    </xf>
    <xf numFmtId="0" fontId="5" fillId="0" borderId="2" xfId="0" applyFont="1" applyBorder="1" applyAlignment="1">
      <alignment horizontal="left" wrapText="1"/>
    </xf>
    <xf numFmtId="0" fontId="5" fillId="0" borderId="2" xfId="0" applyFont="1" applyBorder="1" applyAlignment="1">
      <alignment horizontal="left"/>
    </xf>
    <xf numFmtId="0" fontId="15" fillId="0" borderId="10" xfId="0" applyFont="1" applyBorder="1" applyAlignment="1">
      <alignment horizontal="center"/>
    </xf>
    <xf numFmtId="0" fontId="4" fillId="0" borderId="20" xfId="0" applyFont="1" applyBorder="1"/>
    <xf numFmtId="0" fontId="4" fillId="0" borderId="22" xfId="0" applyFont="1" applyBorder="1"/>
    <xf numFmtId="0" fontId="7" fillId="0" borderId="10" xfId="0" applyFont="1" applyBorder="1" applyAlignment="1">
      <alignment vertical="center"/>
    </xf>
    <xf numFmtId="0" fontId="0" fillId="0" borderId="10" xfId="0" applyBorder="1" applyAlignment="1">
      <alignment horizontal="left"/>
    </xf>
    <xf numFmtId="0" fontId="5" fillId="0" borderId="0" xfId="0" applyFont="1" applyAlignment="1">
      <alignment horizontal="left"/>
    </xf>
    <xf numFmtId="0" fontId="5" fillId="0" borderId="23" xfId="0" applyFont="1" applyBorder="1" applyAlignment="1">
      <alignment horizontal="left"/>
    </xf>
    <xf numFmtId="0" fontId="13" fillId="0" borderId="10" xfId="0" applyFont="1" applyBorder="1" applyAlignment="1">
      <alignment horizontal="left"/>
    </xf>
    <xf numFmtId="0" fontId="5" fillId="0" borderId="24" xfId="0" applyFont="1" applyBorder="1" applyAlignment="1">
      <alignment horizontal="left"/>
    </xf>
    <xf numFmtId="0" fontId="5" fillId="0" borderId="25" xfId="0" applyFont="1" applyBorder="1" applyAlignment="1">
      <alignment horizontal="left"/>
    </xf>
    <xf numFmtId="0" fontId="0" fillId="0" borderId="22" xfId="0" applyBorder="1" applyAlignment="1">
      <alignment vertical="center"/>
    </xf>
    <xf numFmtId="0" fontId="0" fillId="0" borderId="10" xfId="0" applyBorder="1" applyAlignment="1">
      <alignment vertical="center"/>
    </xf>
    <xf numFmtId="0" fontId="16" fillId="0" borderId="26" xfId="0" applyFont="1" applyBorder="1" applyAlignment="1">
      <alignment horizontal="left"/>
    </xf>
    <xf numFmtId="0" fontId="15" fillId="0" borderId="18" xfId="0" applyFont="1" applyBorder="1"/>
    <xf numFmtId="0" fontId="0" fillId="0" borderId="27" xfId="0" applyBorder="1" applyAlignment="1">
      <alignment vertical="center"/>
    </xf>
    <xf numFmtId="0" fontId="0" fillId="0" borderId="17" xfId="0" applyBorder="1" applyAlignment="1">
      <alignment vertical="center"/>
    </xf>
    <xf numFmtId="0" fontId="5" fillId="0" borderId="29" xfId="0" applyFont="1" applyBorder="1" applyAlignment="1">
      <alignment horizontal="left"/>
    </xf>
    <xf numFmtId="0" fontId="4" fillId="0" borderId="27" xfId="0" applyFont="1" applyBorder="1"/>
    <xf numFmtId="0" fontId="0" fillId="0" borderId="31" xfId="0" applyBorder="1"/>
    <xf numFmtId="0" fontId="0" fillId="0" borderId="13" xfId="0" applyBorder="1" applyAlignment="1">
      <alignment vertical="center"/>
    </xf>
    <xf numFmtId="0" fontId="0" fillId="0" borderId="13" xfId="0" applyBorder="1" applyAlignment="1">
      <alignment horizontal="center" vertical="center"/>
    </xf>
    <xf numFmtId="0" fontId="4" fillId="0" borderId="13" xfId="0" applyFont="1" applyBorder="1" applyAlignment="1">
      <alignment vertical="center"/>
    </xf>
    <xf numFmtId="0" fontId="0" fillId="0" borderId="34" xfId="0" applyBorder="1"/>
    <xf numFmtId="0" fontId="0" fillId="0" borderId="10" xfId="0" applyBorder="1" applyAlignment="1">
      <alignment horizontal="center" vertical="center"/>
    </xf>
    <xf numFmtId="0" fontId="4" fillId="0" borderId="10" xfId="0" applyFont="1" applyBorder="1" applyAlignment="1">
      <alignment vertical="center"/>
    </xf>
    <xf numFmtId="9" fontId="0" fillId="0" borderId="10" xfId="0" applyNumberFormat="1" applyBorder="1" applyAlignment="1">
      <alignment horizontal="center"/>
    </xf>
    <xf numFmtId="49" fontId="0" fillId="0" borderId="10" xfId="0" applyNumberFormat="1" applyBorder="1" applyAlignment="1">
      <alignment horizontal="center"/>
    </xf>
    <xf numFmtId="0" fontId="4" fillId="0" borderId="10" xfId="0" applyFont="1" applyBorder="1"/>
    <xf numFmtId="0" fontId="0" fillId="0" borderId="37" xfId="0" applyBorder="1"/>
    <xf numFmtId="0" fontId="15" fillId="0" borderId="10" xfId="0" applyFont="1" applyBorder="1" applyAlignment="1">
      <alignment vertical="center" wrapText="1"/>
    </xf>
    <xf numFmtId="0" fontId="15" fillId="0" borderId="10" xfId="0" applyFont="1" applyBorder="1" applyAlignment="1">
      <alignment wrapText="1"/>
    </xf>
    <xf numFmtId="0" fontId="0" fillId="0" borderId="38" xfId="0" applyBorder="1"/>
    <xf numFmtId="0" fontId="0" fillId="0" borderId="17" xfId="0" applyBorder="1" applyAlignment="1">
      <alignment horizontal="center"/>
    </xf>
    <xf numFmtId="0" fontId="5" fillId="0" borderId="29" xfId="0" applyFont="1" applyBorder="1" applyAlignment="1">
      <alignment horizontal="center" vertical="center"/>
    </xf>
    <xf numFmtId="49" fontId="0" fillId="0" borderId="17" xfId="0" applyNumberFormat="1" applyBorder="1" applyAlignment="1">
      <alignment horizontal="center"/>
    </xf>
    <xf numFmtId="0" fontId="8" fillId="0" borderId="18" xfId="0" applyFont="1" applyBorder="1"/>
    <xf numFmtId="0" fontId="15" fillId="0" borderId="40" xfId="0" applyFont="1" applyBorder="1"/>
    <xf numFmtId="0" fontId="0" fillId="0" borderId="14" xfId="0" applyBorder="1" applyAlignment="1">
      <alignment horizontal="center"/>
    </xf>
    <xf numFmtId="0" fontId="5" fillId="0" borderId="32" xfId="0" applyFont="1" applyBorder="1" applyAlignment="1">
      <alignment horizontal="left" vertical="top" wrapText="1"/>
    </xf>
    <xf numFmtId="0" fontId="4" fillId="0" borderId="13" xfId="0" applyFont="1" applyBorder="1"/>
    <xf numFmtId="0" fontId="5" fillId="3" borderId="41" xfId="0" applyFont="1" applyFill="1" applyBorder="1" applyAlignment="1">
      <alignment horizontal="left" vertical="top"/>
    </xf>
    <xf numFmtId="0" fontId="5" fillId="3" borderId="42" xfId="0" applyFont="1" applyFill="1" applyBorder="1" applyAlignment="1">
      <alignment horizontal="left" vertical="top"/>
    </xf>
    <xf numFmtId="49" fontId="0" fillId="2" borderId="10" xfId="0" applyNumberFormat="1" applyFill="1" applyBorder="1" applyAlignment="1">
      <alignment horizontal="center"/>
    </xf>
    <xf numFmtId="0" fontId="0" fillId="2" borderId="10" xfId="0" applyFill="1" applyBorder="1" applyAlignment="1">
      <alignment horizontal="center"/>
    </xf>
    <xf numFmtId="49" fontId="15" fillId="2" borderId="10" xfId="0" applyNumberFormat="1" applyFont="1" applyFill="1" applyBorder="1" applyAlignment="1">
      <alignment horizontal="center"/>
    </xf>
    <xf numFmtId="0" fontId="15" fillId="2" borderId="10" xfId="0" applyFont="1" applyFill="1" applyBorder="1" applyAlignment="1">
      <alignment horizontal="center"/>
    </xf>
    <xf numFmtId="0" fontId="5" fillId="2" borderId="23" xfId="0" applyFont="1" applyFill="1" applyBorder="1" applyAlignment="1">
      <alignment horizontal="center" vertical="center"/>
    </xf>
    <xf numFmtId="0" fontId="5" fillId="2" borderId="25" xfId="0" applyFont="1" applyFill="1" applyBorder="1" applyAlignment="1">
      <alignment horizontal="center" vertical="center"/>
    </xf>
    <xf numFmtId="49" fontId="0" fillId="2" borderId="10" xfId="0" applyNumberFormat="1" applyFill="1" applyBorder="1" applyAlignment="1">
      <alignment horizontal="center" vertical="center"/>
    </xf>
    <xf numFmtId="0" fontId="0" fillId="2" borderId="10" xfId="0" applyFill="1" applyBorder="1" applyAlignment="1">
      <alignment horizontal="center" vertical="center"/>
    </xf>
    <xf numFmtId="49" fontId="0" fillId="2" borderId="15" xfId="0" applyNumberFormat="1" applyFill="1" applyBorder="1" applyAlignment="1">
      <alignment horizontal="center" vertical="center"/>
    </xf>
    <xf numFmtId="49" fontId="0" fillId="2" borderId="13" xfId="0" applyNumberFormat="1" applyFill="1" applyBorder="1" applyAlignment="1">
      <alignment horizontal="center" vertical="center"/>
    </xf>
    <xf numFmtId="0" fontId="0" fillId="2" borderId="14" xfId="0" applyFill="1" applyBorder="1" applyAlignment="1">
      <alignment horizontal="center" vertical="center"/>
    </xf>
    <xf numFmtId="0" fontId="5" fillId="2" borderId="32" xfId="0" applyFont="1" applyFill="1" applyBorder="1" applyAlignment="1">
      <alignment horizontal="center" vertical="center"/>
    </xf>
    <xf numFmtId="49" fontId="0" fillId="2" borderId="9" xfId="0" applyNumberFormat="1" applyFill="1" applyBorder="1" applyAlignment="1">
      <alignment horizontal="center" vertical="center"/>
    </xf>
    <xf numFmtId="0" fontId="0" fillId="2" borderId="9" xfId="0" applyFill="1" applyBorder="1" applyAlignment="1">
      <alignment horizontal="center" vertical="center"/>
    </xf>
    <xf numFmtId="0" fontId="5" fillId="2" borderId="28" xfId="0" applyFont="1" applyFill="1" applyBorder="1" applyAlignment="1">
      <alignment horizontal="center" vertical="center"/>
    </xf>
    <xf numFmtId="49" fontId="0" fillId="2" borderId="4" xfId="0" applyNumberFormat="1" applyFill="1" applyBorder="1" applyAlignment="1">
      <alignment horizontal="center" vertical="center"/>
    </xf>
    <xf numFmtId="0" fontId="0" fillId="2" borderId="4" xfId="0" applyFill="1" applyBorder="1" applyAlignment="1">
      <alignment horizontal="center" vertical="center"/>
    </xf>
    <xf numFmtId="0" fontId="5" fillId="2" borderId="4" xfId="0" applyFont="1" applyFill="1" applyBorder="1" applyAlignment="1">
      <alignment horizontal="center" vertical="center"/>
    </xf>
    <xf numFmtId="49" fontId="15" fillId="2" borderId="17" xfId="0" applyNumberFormat="1" applyFont="1" applyFill="1" applyBorder="1" applyAlignment="1">
      <alignment horizontal="center"/>
    </xf>
    <xf numFmtId="0" fontId="15" fillId="2" borderId="17" xfId="0" applyFont="1" applyFill="1" applyBorder="1" applyAlignment="1">
      <alignment horizontal="center"/>
    </xf>
    <xf numFmtId="49" fontId="15" fillId="2" borderId="13" xfId="0" applyNumberFormat="1" applyFont="1" applyFill="1" applyBorder="1" applyAlignment="1">
      <alignment horizontal="center"/>
    </xf>
    <xf numFmtId="0" fontId="15" fillId="2" borderId="13" xfId="0" applyFont="1" applyFill="1" applyBorder="1" applyAlignment="1">
      <alignment horizontal="center"/>
    </xf>
    <xf numFmtId="49" fontId="0" fillId="2" borderId="18" xfId="0" applyNumberFormat="1" applyFill="1" applyBorder="1" applyAlignment="1">
      <alignment horizontal="center"/>
    </xf>
    <xf numFmtId="49" fontId="15" fillId="2" borderId="18" xfId="0" applyNumberFormat="1" applyFont="1" applyFill="1" applyBorder="1" applyAlignment="1">
      <alignment horizontal="center"/>
    </xf>
    <xf numFmtId="0" fontId="15" fillId="2" borderId="18" xfId="0" applyFont="1" applyFill="1" applyBorder="1" applyAlignment="1">
      <alignment horizontal="center"/>
    </xf>
    <xf numFmtId="49" fontId="0" fillId="2" borderId="13" xfId="0" applyNumberFormat="1" applyFill="1" applyBorder="1" applyAlignment="1">
      <alignment horizontal="center"/>
    </xf>
    <xf numFmtId="0" fontId="0" fillId="2" borderId="13" xfId="0" applyFill="1" applyBorder="1" applyAlignment="1">
      <alignment horizontal="center"/>
    </xf>
    <xf numFmtId="49" fontId="0" fillId="2" borderId="4" xfId="0" applyNumberFormat="1" applyFill="1" applyBorder="1" applyAlignment="1">
      <alignment horizontal="center"/>
    </xf>
    <xf numFmtId="0" fontId="0" fillId="2" borderId="4" xfId="0" applyFill="1" applyBorder="1" applyAlignment="1">
      <alignment horizont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3" borderId="10" xfId="0" applyFill="1" applyBorder="1" applyAlignment="1">
      <alignment horizontal="center"/>
    </xf>
    <xf numFmtId="0" fontId="5" fillId="3" borderId="42" xfId="0" applyFont="1" applyFill="1" applyBorder="1" applyAlignment="1">
      <alignment horizontal="left" vertical="center"/>
    </xf>
    <xf numFmtId="0" fontId="5" fillId="3" borderId="42" xfId="0" applyFont="1" applyFill="1" applyBorder="1" applyAlignment="1">
      <alignment horizontal="left" vertical="top" wrapText="1"/>
    </xf>
    <xf numFmtId="0" fontId="19" fillId="0" borderId="1" xfId="0" applyFont="1" applyBorder="1"/>
    <xf numFmtId="0" fontId="18" fillId="0" borderId="44" xfId="0" applyFont="1" applyBorder="1" applyAlignment="1">
      <alignment vertical="center"/>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horizontal="left"/>
    </xf>
    <xf numFmtId="0" fontId="18" fillId="0" borderId="1" xfId="0" applyFont="1" applyBorder="1" applyAlignment="1">
      <alignment vertical="center"/>
    </xf>
    <xf numFmtId="0" fontId="19" fillId="0" borderId="1" xfId="0" applyFont="1" applyBorder="1" applyAlignment="1">
      <alignment vertical="center" wrapText="1"/>
    </xf>
    <xf numFmtId="0" fontId="17" fillId="0" borderId="0" xfId="0" applyFont="1"/>
    <xf numFmtId="0" fontId="5" fillId="3" borderId="42" xfId="0" applyFont="1" applyFill="1" applyBorder="1" applyAlignment="1">
      <alignment horizontal="center" vertical="top"/>
    </xf>
    <xf numFmtId="0" fontId="0" fillId="0" borderId="1" xfId="0" applyBorder="1" applyAlignment="1">
      <alignment horizontal="center"/>
    </xf>
    <xf numFmtId="0" fontId="0" fillId="0" borderId="0" xfId="0" applyAlignment="1">
      <alignment horizontal="center"/>
    </xf>
    <xf numFmtId="0" fontId="0" fillId="8" borderId="1" xfId="0" applyFill="1" applyBorder="1"/>
    <xf numFmtId="0" fontId="0" fillId="9" borderId="1" xfId="0" applyFill="1" applyBorder="1"/>
    <xf numFmtId="0" fontId="0" fillId="10" borderId="1" xfId="0" applyFill="1" applyBorder="1"/>
    <xf numFmtId="0" fontId="0" fillId="7" borderId="1" xfId="0" applyFill="1" applyBorder="1" applyAlignment="1">
      <alignment horizontal="center"/>
    </xf>
    <xf numFmtId="0" fontId="8" fillId="15" borderId="1" xfId="0" applyFont="1" applyFill="1" applyBorder="1"/>
    <xf numFmtId="0" fontId="0" fillId="16" borderId="1" xfId="0" applyFill="1" applyBorder="1"/>
    <xf numFmtId="0" fontId="8" fillId="0" borderId="1" xfId="0" applyFont="1" applyBorder="1"/>
    <xf numFmtId="0" fontId="0" fillId="9" borderId="1" xfId="0" applyFill="1" applyBorder="1" applyAlignment="1">
      <alignment horizontal="center"/>
    </xf>
    <xf numFmtId="0" fontId="0" fillId="11" borderId="0" xfId="0" applyFill="1"/>
    <xf numFmtId="0" fontId="0" fillId="17" borderId="0" xfId="0" applyFill="1"/>
    <xf numFmtId="0" fontId="0" fillId="18" borderId="1" xfId="0" applyFill="1" applyBorder="1"/>
    <xf numFmtId="0" fontId="0" fillId="0" borderId="45" xfId="0" applyBorder="1"/>
    <xf numFmtId="0" fontId="4" fillId="0" borderId="11" xfId="0" applyFont="1" applyBorder="1"/>
    <xf numFmtId="0" fontId="23" fillId="0" borderId="1" xfId="0" applyFont="1" applyBorder="1" applyAlignment="1">
      <alignment horizontal="left" vertical="top" wrapText="1"/>
    </xf>
    <xf numFmtId="0" fontId="2" fillId="0" borderId="0" xfId="0" applyFont="1" applyAlignment="1">
      <alignment horizontal="left" vertical="top"/>
    </xf>
    <xf numFmtId="0" fontId="22" fillId="3" borderId="42" xfId="0" applyFont="1" applyFill="1" applyBorder="1" applyAlignment="1">
      <alignment horizontal="left" vertical="top"/>
    </xf>
    <xf numFmtId="0" fontId="0" fillId="20" borderId="1" xfId="0" applyFill="1" applyBorder="1" applyAlignment="1">
      <alignment horizontal="left" vertical="center"/>
    </xf>
    <xf numFmtId="0" fontId="24" fillId="0" borderId="1" xfId="0" applyFont="1" applyBorder="1" applyAlignment="1">
      <alignment horizontal="left" vertical="top"/>
    </xf>
    <xf numFmtId="0" fontId="22" fillId="3" borderId="42" xfId="0" applyFont="1" applyFill="1" applyBorder="1" applyAlignment="1">
      <alignment horizontal="left" vertical="center"/>
    </xf>
    <xf numFmtId="0" fontId="2" fillId="0" borderId="0" xfId="0" applyFont="1" applyAlignment="1">
      <alignment horizontal="left" vertical="center"/>
    </xf>
    <xf numFmtId="0" fontId="22" fillId="3" borderId="42" xfId="0" applyFont="1" applyFill="1" applyBorder="1" applyAlignment="1">
      <alignment horizontal="center" vertical="center"/>
    </xf>
    <xf numFmtId="0" fontId="22" fillId="3" borderId="10" xfId="0" applyFont="1" applyFill="1" applyBorder="1" applyAlignment="1">
      <alignment horizontal="center" vertical="center"/>
    </xf>
    <xf numFmtId="0" fontId="22" fillId="0" borderId="0" xfId="0" applyFont="1" applyAlignment="1">
      <alignment horizontal="center" vertical="center"/>
    </xf>
    <xf numFmtId="0" fontId="2" fillId="0" borderId="0" xfId="0" applyFont="1" applyAlignment="1">
      <alignment horizontal="center" vertical="center"/>
    </xf>
    <xf numFmtId="0" fontId="0" fillId="20" borderId="1" xfId="0" applyFill="1" applyBorder="1" applyAlignment="1">
      <alignment horizontal="center" vertical="center"/>
    </xf>
    <xf numFmtId="0" fontId="0" fillId="0" borderId="0" xfId="0" applyAlignment="1">
      <alignment horizontal="center" vertical="center"/>
    </xf>
    <xf numFmtId="0" fontId="0" fillId="20" borderId="1" xfId="0" applyFill="1" applyBorder="1" applyAlignment="1">
      <alignment horizontal="left" vertical="top"/>
    </xf>
    <xf numFmtId="0" fontId="0" fillId="20" borderId="1" xfId="0" applyFill="1" applyBorder="1" applyAlignment="1">
      <alignment horizontal="left" vertical="top" wrapText="1"/>
    </xf>
    <xf numFmtId="0" fontId="22" fillId="3" borderId="41" xfId="0" applyFont="1" applyFill="1" applyBorder="1" applyAlignment="1">
      <alignment horizontal="center" vertical="center"/>
    </xf>
    <xf numFmtId="0" fontId="23" fillId="0" borderId="10" xfId="0" applyFont="1" applyBorder="1" applyAlignment="1">
      <alignment horizontal="left" vertical="top"/>
    </xf>
    <xf numFmtId="0" fontId="23" fillId="0" borderId="13" xfId="0" applyFont="1" applyBorder="1" applyAlignment="1">
      <alignment horizontal="left" vertical="top"/>
    </xf>
    <xf numFmtId="0" fontId="25" fillId="0" borderId="1" xfId="0" applyFont="1" applyBorder="1" applyAlignment="1">
      <alignment horizontal="left" vertical="top"/>
    </xf>
    <xf numFmtId="0" fontId="24" fillId="6" borderId="1" xfId="0" applyFont="1" applyFill="1" applyBorder="1" applyAlignment="1">
      <alignment horizontal="center" vertical="center" wrapText="1"/>
    </xf>
    <xf numFmtId="14" fontId="24" fillId="6" borderId="1" xfId="0" applyNumberFormat="1" applyFont="1" applyFill="1" applyBorder="1" applyAlignment="1">
      <alignment horizontal="center" vertical="center" wrapText="1"/>
    </xf>
    <xf numFmtId="0" fontId="26" fillId="4" borderId="1" xfId="0" applyFont="1" applyFill="1" applyBorder="1" applyAlignment="1">
      <alignment horizontal="center" vertical="center" wrapText="1"/>
    </xf>
    <xf numFmtId="0" fontId="24" fillId="6" borderId="1" xfId="0" applyFont="1" applyFill="1" applyBorder="1" applyAlignment="1">
      <alignment horizontal="left" vertical="center" wrapText="1"/>
    </xf>
    <xf numFmtId="0" fontId="30" fillId="6" borderId="51" xfId="0" applyFont="1" applyFill="1" applyBorder="1"/>
    <xf numFmtId="0" fontId="30" fillId="6" borderId="52" xfId="0" applyFont="1" applyFill="1" applyBorder="1"/>
    <xf numFmtId="0" fontId="4" fillId="0" borderId="55" xfId="0" applyFont="1" applyBorder="1"/>
    <xf numFmtId="0" fontId="4" fillId="0" borderId="56" xfId="0" applyFont="1" applyBorder="1"/>
    <xf numFmtId="0" fontId="0" fillId="0" borderId="44" xfId="0"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0" fillId="0" borderId="46" xfId="0" applyBorder="1" applyAlignment="1">
      <alignment horizontal="center" vertical="center" wrapText="1"/>
    </xf>
    <xf numFmtId="0" fontId="0" fillId="0" borderId="49" xfId="0" applyBorder="1" applyAlignment="1">
      <alignment horizontal="center" vertical="center" wrapText="1"/>
    </xf>
    <xf numFmtId="0" fontId="0" fillId="0" borderId="47" xfId="0" applyBorder="1" applyAlignment="1">
      <alignment horizontal="center"/>
    </xf>
    <xf numFmtId="0" fontId="0" fillId="0" borderId="44" xfId="0" applyBorder="1" applyAlignment="1">
      <alignment horizontal="center"/>
    </xf>
    <xf numFmtId="0" fontId="0" fillId="0" borderId="1" xfId="0" applyFill="1" applyBorder="1"/>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14"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49"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xf>
    <xf numFmtId="0" fontId="1" fillId="0" borderId="51" xfId="0" applyFont="1" applyBorder="1" applyAlignment="1">
      <alignment horizontal="center" vertical="center"/>
    </xf>
    <xf numFmtId="0" fontId="1" fillId="0" borderId="51" xfId="0" applyFont="1" applyBorder="1" applyAlignment="1">
      <alignment horizontal="left" vertical="center" wrapText="1"/>
    </xf>
    <xf numFmtId="0" fontId="1" fillId="0" borderId="0" xfId="0" applyFont="1" applyAlignment="1">
      <alignment horizontal="center" vertical="center"/>
    </xf>
    <xf numFmtId="0" fontId="1" fillId="0" borderId="52" xfId="0"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20" borderId="1" xfId="0" applyFont="1" applyFill="1" applyBorder="1" applyAlignment="1">
      <alignment horizontal="left" vertical="top" wrapText="1"/>
    </xf>
    <xf numFmtId="20" fontId="1" fillId="0" borderId="1" xfId="0" applyNumberFormat="1" applyFont="1" applyBorder="1" applyAlignment="1">
      <alignment horizontal="left" vertical="top" wrapText="1"/>
    </xf>
    <xf numFmtId="0" fontId="1" fillId="0" borderId="0" xfId="0" applyFont="1" applyAlignment="1">
      <alignment horizontal="left" vertical="top"/>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1" fillId="20" borderId="1" xfId="0" applyFont="1" applyFill="1" applyBorder="1" applyAlignment="1">
      <alignment horizontal="left" vertical="center"/>
    </xf>
    <xf numFmtId="0" fontId="1" fillId="20" borderId="1" xfId="0" applyFont="1" applyFill="1" applyBorder="1" applyAlignment="1">
      <alignment horizontal="left" vertical="top"/>
    </xf>
    <xf numFmtId="0" fontId="1" fillId="20" borderId="1" xfId="0" applyFont="1" applyFill="1" applyBorder="1" applyAlignment="1">
      <alignment horizontal="center" vertical="center"/>
    </xf>
    <xf numFmtId="0" fontId="1" fillId="0" borderId="1" xfId="0" applyFont="1" applyBorder="1" applyAlignment="1">
      <alignment horizontal="center" vertical="center" wrapText="1"/>
    </xf>
    <xf numFmtId="0" fontId="0" fillId="7" borderId="47" xfId="0" applyFill="1" applyBorder="1" applyAlignment="1">
      <alignment horizontal="center"/>
    </xf>
    <xf numFmtId="0" fontId="0" fillId="0" borderId="50" xfId="0" applyBorder="1"/>
    <xf numFmtId="0" fontId="20" fillId="0" borderId="1" xfId="0" applyFont="1" applyBorder="1"/>
    <xf numFmtId="0" fontId="8" fillId="0" borderId="1" xfId="0" applyFont="1" applyBorder="1" applyAlignment="1">
      <alignment horizontal="left" vertical="top" wrapText="1"/>
    </xf>
    <xf numFmtId="0" fontId="1" fillId="0" borderId="52" xfId="0" applyFont="1" applyBorder="1" applyAlignment="1">
      <alignment horizontal="left" vertical="center"/>
    </xf>
    <xf numFmtId="165" fontId="10" fillId="0" borderId="0" xfId="5" applyFont="1" applyAlignment="1">
      <alignment horizontal="left" vertical="center" wrapText="1"/>
    </xf>
    <xf numFmtId="0" fontId="11" fillId="5" borderId="5" xfId="4" applyFont="1" applyFill="1" applyBorder="1" applyAlignment="1">
      <alignment horizontal="left" vertical="center" indent="1"/>
    </xf>
    <xf numFmtId="0" fontId="11" fillId="5" borderId="6" xfId="4" applyFont="1" applyFill="1" applyBorder="1" applyAlignment="1">
      <alignment horizontal="left" vertical="center" indent="1"/>
    </xf>
    <xf numFmtId="0" fontId="10" fillId="0" borderId="5" xfId="4" applyFont="1" applyBorder="1" applyAlignment="1">
      <alignment horizontal="left" vertical="center"/>
    </xf>
    <xf numFmtId="0" fontId="10" fillId="0" borderId="7" xfId="4" applyFont="1" applyBorder="1" applyAlignment="1">
      <alignment horizontal="left" vertical="center"/>
    </xf>
    <xf numFmtId="164" fontId="12" fillId="0" borderId="5" xfId="4" applyNumberFormat="1" applyFont="1" applyBorder="1" applyAlignment="1">
      <alignment horizontal="left" vertical="center"/>
    </xf>
    <xf numFmtId="164" fontId="10" fillId="0" borderId="7" xfId="4" applyNumberFormat="1" applyFont="1" applyBorder="1" applyAlignment="1">
      <alignment horizontal="left" vertical="center"/>
    </xf>
    <xf numFmtId="0" fontId="7" fillId="0" borderId="7" xfId="4" applyBorder="1" applyAlignment="1">
      <alignment horizontal="left"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14" fontId="1" fillId="0" borderId="2" xfId="0" applyNumberFormat="1" applyFont="1" applyBorder="1" applyAlignment="1">
      <alignment horizontal="center" vertical="center"/>
    </xf>
    <xf numFmtId="14" fontId="1" fillId="0" borderId="3" xfId="0" applyNumberFormat="1" applyFont="1" applyBorder="1" applyAlignment="1">
      <alignment horizontal="center" vertical="center"/>
    </xf>
    <xf numFmtId="14" fontId="1" fillId="0" borderId="4" xfId="0" applyNumberFormat="1" applyFont="1" applyBorder="1" applyAlignment="1">
      <alignment horizontal="center" vertical="center"/>
    </xf>
    <xf numFmtId="0" fontId="1" fillId="0" borderId="52" xfId="0" applyFont="1" applyBorder="1" applyAlignment="1">
      <alignment horizontal="center" vertical="center"/>
    </xf>
    <xf numFmtId="0" fontId="1" fillId="0" borderId="5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3" fillId="0" borderId="56" xfId="0" applyFont="1" applyBorder="1" applyAlignment="1">
      <alignment horizontal="center" vertical="center"/>
    </xf>
    <xf numFmtId="0" fontId="3" fillId="0" borderId="1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16" xfId="0" applyFont="1" applyBorder="1" applyAlignment="1">
      <alignment horizontal="center" vertical="center"/>
    </xf>
    <xf numFmtId="0" fontId="3" fillId="0" borderId="36" xfId="0" applyFont="1" applyBorder="1" applyAlignment="1">
      <alignment horizontal="center" vertical="center"/>
    </xf>
    <xf numFmtId="0" fontId="3" fillId="0" borderId="31" xfId="0" applyFont="1" applyBorder="1" applyAlignment="1">
      <alignment horizontal="center" vertical="center"/>
    </xf>
    <xf numFmtId="0" fontId="3" fillId="0" borderId="39" xfId="0" applyFont="1" applyBorder="1" applyAlignment="1">
      <alignment horizontal="center" vertical="center"/>
    </xf>
    <xf numFmtId="0" fontId="3" fillId="0" borderId="35" xfId="0" applyFont="1" applyBorder="1" applyAlignment="1">
      <alignment horizontal="center" vertical="center"/>
    </xf>
    <xf numFmtId="0" fontId="3" fillId="0" borderId="33" xfId="0" applyFont="1" applyBorder="1" applyAlignment="1">
      <alignment horizontal="center" vertical="center"/>
    </xf>
    <xf numFmtId="0" fontId="3" fillId="0" borderId="12" xfId="0" applyFont="1" applyBorder="1" applyAlignment="1">
      <alignment horizontal="center" vertical="center"/>
    </xf>
    <xf numFmtId="0" fontId="14" fillId="0" borderId="30" xfId="0" applyFont="1" applyBorder="1" applyAlignment="1">
      <alignment horizontal="center" vertical="center"/>
    </xf>
    <xf numFmtId="0" fontId="14" fillId="0" borderId="21" xfId="0" applyFont="1" applyBorder="1" applyAlignment="1">
      <alignment horizontal="center" vertical="center"/>
    </xf>
    <xf numFmtId="0" fontId="14" fillId="0" borderId="19" xfId="0" applyFont="1" applyBorder="1" applyAlignment="1">
      <alignment horizontal="center" vertical="center"/>
    </xf>
    <xf numFmtId="0" fontId="3" fillId="0" borderId="54" xfId="0" applyFont="1" applyBorder="1" applyAlignment="1">
      <alignment horizontal="center" vertical="center"/>
    </xf>
    <xf numFmtId="0" fontId="0" fillId="0" borderId="43" xfId="0" applyBorder="1" applyAlignment="1">
      <alignment horizontal="center" vertical="center"/>
    </xf>
    <xf numFmtId="0" fontId="0" fillId="0" borderId="45" xfId="0" applyBorder="1" applyAlignment="1">
      <alignment horizontal="center" vertical="center"/>
    </xf>
    <xf numFmtId="0" fontId="17" fillId="0" borderId="2" xfId="0" applyFont="1" applyBorder="1" applyAlignment="1">
      <alignment horizontal="center" vertical="center"/>
    </xf>
    <xf numFmtId="0" fontId="17" fillId="0" borderId="4"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19" borderId="1" xfId="0" applyFill="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9" borderId="47" xfId="0" applyFill="1" applyBorder="1" applyAlignment="1">
      <alignment horizontal="center"/>
    </xf>
    <xf numFmtId="0" fontId="0" fillId="9" borderId="44" xfId="0" applyFill="1" applyBorder="1" applyAlignment="1">
      <alignment horizontal="center"/>
    </xf>
    <xf numFmtId="0" fontId="0" fillId="9" borderId="48" xfId="0" applyFill="1" applyBorder="1" applyAlignment="1">
      <alignment horizontal="center"/>
    </xf>
    <xf numFmtId="0" fontId="0" fillId="11" borderId="47" xfId="0" applyFill="1" applyBorder="1" applyAlignment="1">
      <alignment horizontal="center" vertical="center" wrapText="1"/>
    </xf>
    <xf numFmtId="0" fontId="0" fillId="11" borderId="44" xfId="0" applyFill="1" applyBorder="1" applyAlignment="1">
      <alignment horizontal="center" vertical="center" wrapText="1"/>
    </xf>
    <xf numFmtId="0" fontId="0" fillId="11" borderId="48" xfId="0" applyFill="1" applyBorder="1" applyAlignment="1">
      <alignment horizontal="center" vertical="center" wrapText="1"/>
    </xf>
    <xf numFmtId="0" fontId="0" fillId="12" borderId="47" xfId="0" applyFill="1" applyBorder="1" applyAlignment="1">
      <alignment horizontal="center"/>
    </xf>
    <xf numFmtId="0" fontId="0" fillId="12" borderId="44" xfId="0" applyFill="1" applyBorder="1" applyAlignment="1">
      <alignment horizontal="center"/>
    </xf>
    <xf numFmtId="0" fontId="0" fillId="12" borderId="48" xfId="0" applyFill="1" applyBorder="1" applyAlignment="1">
      <alignment horizontal="center"/>
    </xf>
    <xf numFmtId="0" fontId="0" fillId="21" borderId="47" xfId="0" applyFill="1" applyBorder="1" applyAlignment="1">
      <alignment horizontal="center"/>
    </xf>
    <xf numFmtId="0" fontId="0" fillId="21" borderId="44" xfId="0" applyFill="1" applyBorder="1" applyAlignment="1">
      <alignment horizontal="center"/>
    </xf>
    <xf numFmtId="0" fontId="0" fillId="21" borderId="48" xfId="0" applyFill="1" applyBorder="1" applyAlignment="1">
      <alignment horizontal="center"/>
    </xf>
    <xf numFmtId="0" fontId="0" fillId="14" borderId="1" xfId="0" applyFill="1" applyBorder="1" applyAlignment="1">
      <alignment horizontal="center"/>
    </xf>
    <xf numFmtId="0" fontId="0" fillId="11" borderId="1" xfId="0" applyFill="1" applyBorder="1" applyAlignment="1">
      <alignment horizontal="center" vertical="center" wrapText="1"/>
    </xf>
    <xf numFmtId="0" fontId="0" fillId="0" borderId="1" xfId="0" applyBorder="1" applyAlignment="1">
      <alignment horizontal="center" vertical="center"/>
    </xf>
    <xf numFmtId="0" fontId="1" fillId="11" borderId="1" xfId="0" applyFont="1" applyFill="1" applyBorder="1" applyAlignment="1">
      <alignment horizontal="center" vertical="center" wrapText="1"/>
    </xf>
    <xf numFmtId="0" fontId="0" fillId="13" borderId="1" xfId="0" applyFill="1" applyBorder="1" applyAlignment="1">
      <alignment horizontal="center"/>
    </xf>
    <xf numFmtId="0" fontId="29" fillId="17" borderId="1" xfId="0" applyFont="1" applyFill="1" applyBorder="1" applyAlignment="1">
      <alignment horizontal="center" vertical="top" wrapText="1"/>
    </xf>
    <xf numFmtId="0" fontId="8" fillId="0" borderId="1" xfId="0" applyFont="1" applyBorder="1" applyAlignment="1">
      <alignment horizontal="center" vertical="top" wrapText="1"/>
    </xf>
    <xf numFmtId="0" fontId="0" fillId="0" borderId="1" xfId="0" applyBorder="1" applyAlignment="1">
      <alignment horizontal="center" vertical="center" wrapText="1"/>
    </xf>
    <xf numFmtId="0" fontId="1" fillId="11" borderId="1" xfId="0" applyFont="1" applyFill="1" applyBorder="1" applyAlignment="1">
      <alignment horizontal="center" vertical="top" wrapText="1"/>
    </xf>
    <xf numFmtId="0" fontId="0" fillId="13" borderId="1" xfId="0" applyFill="1" applyBorder="1" applyAlignment="1">
      <alignment horizontal="center" wrapText="1"/>
    </xf>
    <xf numFmtId="0" fontId="0" fillId="14" borderId="1" xfId="0" applyFill="1" applyBorder="1" applyAlignment="1">
      <alignment horizontal="center" wrapText="1"/>
    </xf>
    <xf numFmtId="0" fontId="0" fillId="21" borderId="1" xfId="0" applyFill="1" applyBorder="1" applyAlignment="1">
      <alignment horizontal="center"/>
    </xf>
    <xf numFmtId="0" fontId="0" fillId="17" borderId="1" xfId="0" applyFill="1" applyBorder="1" applyAlignment="1">
      <alignment horizontal="center" vertical="top" wrapText="1"/>
    </xf>
    <xf numFmtId="0" fontId="1" fillId="17" borderId="1" xfId="0" applyFont="1" applyFill="1" applyBorder="1" applyAlignment="1">
      <alignment horizontal="center" vertical="top" wrapText="1"/>
    </xf>
  </cellXfs>
  <cellStyles count="6">
    <cellStyle name="Normal" xfId="0" builtinId="0"/>
    <cellStyle name="Normal 10 2 3" xfId="4" xr:uid="{BB86FD03-3E30-48BA-BDC4-A99F542C0402}"/>
    <cellStyle name="Normal 2" xfId="3" xr:uid="{B10CEEF1-6F87-4EA6-B239-AEEB40D620C0}"/>
    <cellStyle name="Normal 220" xfId="5" xr:uid="{4F7706EF-AC37-4B56-97D1-3012636A302B}"/>
    <cellStyle name="常规_长安C302动力电池BMS与远程监控GPRS通信CAN协议_20120504" xfId="2" xr:uid="{19266A17-8564-4554-B4CB-7759689CF836}"/>
    <cellStyle name="標準 2" xfId="1" xr:uid="{768BA99E-92D6-4727-9F5F-81DDAA9749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514350</xdr:colOff>
      <xdr:row>1</xdr:row>
      <xdr:rowOff>142875</xdr:rowOff>
    </xdr:from>
    <xdr:to>
      <xdr:col>4</xdr:col>
      <xdr:colOff>1977390</xdr:colOff>
      <xdr:row>5</xdr:row>
      <xdr:rowOff>95250</xdr:rowOff>
    </xdr:to>
    <xdr:pic>
      <xdr:nvPicPr>
        <xdr:cNvPr id="3" name="Imagem 2">
          <a:extLst>
            <a:ext uri="{FF2B5EF4-FFF2-40B4-BE49-F238E27FC236}">
              <a16:creationId xmlns:a16="http://schemas.microsoft.com/office/drawing/2014/main" id="{4079F532-B385-430E-A373-39ADB41130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3850"/>
          <a:ext cx="268224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906780</xdr:colOff>
      <xdr:row>101</xdr:row>
      <xdr:rowOff>358139</xdr:rowOff>
    </xdr:from>
    <xdr:to>
      <xdr:col>5</xdr:col>
      <xdr:colOff>1028700</xdr:colOff>
      <xdr:row>106</xdr:row>
      <xdr:rowOff>291899</xdr:rowOff>
    </xdr:to>
    <xdr:pic>
      <xdr:nvPicPr>
        <xdr:cNvPr id="2" name="Picture 1">
          <a:extLst>
            <a:ext uri="{FF2B5EF4-FFF2-40B4-BE49-F238E27FC236}">
              <a16:creationId xmlns:a16="http://schemas.microsoft.com/office/drawing/2014/main" id="{E15F1DCF-76B6-40B3-A226-8BA22189295A}"/>
            </a:ext>
          </a:extLst>
        </xdr:cNvPr>
        <xdr:cNvPicPr>
          <a:picLocks noChangeAspect="1"/>
        </xdr:cNvPicPr>
      </xdr:nvPicPr>
      <xdr:blipFill>
        <a:blip xmlns:r="http://schemas.openxmlformats.org/officeDocument/2006/relationships" r:embed="rId1"/>
        <a:stretch>
          <a:fillRect/>
        </a:stretch>
      </xdr:blipFill>
      <xdr:spPr>
        <a:xfrm>
          <a:off x="4084320" y="21435059"/>
          <a:ext cx="6454140" cy="3019860"/>
        </a:xfrm>
        <a:prstGeom prst="rect">
          <a:avLst/>
        </a:prstGeom>
      </xdr:spPr>
    </xdr:pic>
    <xdr:clientData/>
  </xdr:twoCellAnchor>
  <xdr:twoCellAnchor editAs="oneCell">
    <xdr:from>
      <xdr:col>2</xdr:col>
      <xdr:colOff>942975</xdr:colOff>
      <xdr:row>141</xdr:row>
      <xdr:rowOff>5715</xdr:rowOff>
    </xdr:from>
    <xdr:to>
      <xdr:col>5</xdr:col>
      <xdr:colOff>703777</xdr:colOff>
      <xdr:row>147</xdr:row>
      <xdr:rowOff>160202</xdr:rowOff>
    </xdr:to>
    <xdr:pic>
      <xdr:nvPicPr>
        <xdr:cNvPr id="3" name="Picture 2">
          <a:extLst>
            <a:ext uri="{FF2B5EF4-FFF2-40B4-BE49-F238E27FC236}">
              <a16:creationId xmlns:a16="http://schemas.microsoft.com/office/drawing/2014/main" id="{D01711FB-6194-4194-B384-4EDCD553429C}"/>
            </a:ext>
            <a:ext uri="{147F2762-F138-4A5C-976F-8EAC2B608ADB}">
              <a16:predDERef xmlns:a16="http://schemas.microsoft.com/office/drawing/2014/main" pred="{E15F1DCF-76B6-40B3-A226-8BA22189295A}"/>
            </a:ext>
          </a:extLst>
        </xdr:cNvPr>
        <xdr:cNvPicPr>
          <a:picLocks noChangeAspect="1"/>
        </xdr:cNvPicPr>
      </xdr:nvPicPr>
      <xdr:blipFill>
        <a:blip xmlns:r="http://schemas.openxmlformats.org/officeDocument/2006/relationships" r:embed="rId2"/>
        <a:stretch>
          <a:fillRect/>
        </a:stretch>
      </xdr:blipFill>
      <xdr:spPr>
        <a:xfrm>
          <a:off x="4120515" y="33427035"/>
          <a:ext cx="6093022" cy="1251767"/>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9687-AB7D-481A-BE58-DA912D3B38B6}">
  <sheetPr codeName="Sheet1"/>
  <dimension ref="A7:E16"/>
  <sheetViews>
    <sheetView showGridLines="0" tabSelected="1" workbookViewId="0">
      <selection activeCell="D13" sqref="D13:E13"/>
    </sheetView>
  </sheetViews>
  <sheetFormatPr defaultRowHeight="14.4"/>
  <cols>
    <col min="5" max="5" width="29.88671875" customWidth="1"/>
  </cols>
  <sheetData>
    <row r="7" spans="1:5" ht="15" thickBot="1">
      <c r="A7" s="7" t="s">
        <v>0</v>
      </c>
      <c r="B7" s="7"/>
      <c r="C7" s="8"/>
      <c r="D7" s="9"/>
      <c r="E7" s="9"/>
    </row>
    <row r="8" spans="1:5" ht="15" thickBot="1">
      <c r="A8" s="214" t="s">
        <v>1</v>
      </c>
      <c r="B8" s="215"/>
      <c r="C8" s="215"/>
      <c r="D8" s="216" t="s">
        <v>510</v>
      </c>
      <c r="E8" s="217"/>
    </row>
    <row r="9" spans="1:5" ht="15" thickBot="1">
      <c r="A9" s="214" t="s">
        <v>2</v>
      </c>
      <c r="B9" s="215"/>
      <c r="C9" s="215"/>
      <c r="D9" s="216" t="s">
        <v>3</v>
      </c>
      <c r="E9" s="220"/>
    </row>
    <row r="10" spans="1:5" ht="15" thickBot="1">
      <c r="A10" s="214" t="s">
        <v>4</v>
      </c>
      <c r="B10" s="215"/>
      <c r="C10" s="215"/>
      <c r="D10" s="216" t="s">
        <v>5</v>
      </c>
      <c r="E10" s="217"/>
    </row>
    <row r="11" spans="1:5" ht="15" thickBot="1">
      <c r="A11" s="214" t="s">
        <v>6</v>
      </c>
      <c r="B11" s="215"/>
      <c r="C11" s="215"/>
      <c r="D11" s="216" t="s">
        <v>511</v>
      </c>
      <c r="E11" s="217"/>
    </row>
    <row r="12" spans="1:5" ht="15" thickBot="1">
      <c r="A12" s="214" t="s">
        <v>7</v>
      </c>
      <c r="B12" s="215"/>
      <c r="C12" s="215"/>
      <c r="D12" s="218">
        <v>2.4</v>
      </c>
      <c r="E12" s="219"/>
    </row>
    <row r="13" spans="1:5" ht="15" thickBot="1">
      <c r="A13" s="214" t="s">
        <v>8</v>
      </c>
      <c r="B13" s="215"/>
      <c r="C13" s="215"/>
      <c r="D13" s="216"/>
      <c r="E13" s="217"/>
    </row>
    <row r="14" spans="1:5">
      <c r="A14" s="10"/>
      <c r="B14" s="10"/>
      <c r="C14" s="10"/>
      <c r="D14" s="9"/>
      <c r="E14" s="9"/>
    </row>
    <row r="15" spans="1:5">
      <c r="A15" s="7" t="s">
        <v>9</v>
      </c>
      <c r="B15" s="10"/>
      <c r="C15" s="10"/>
      <c r="D15" s="9"/>
      <c r="E15" s="9"/>
    </row>
    <row r="16" spans="1:5">
      <c r="A16" s="213" t="s">
        <v>10</v>
      </c>
      <c r="B16" s="213"/>
      <c r="C16" s="213"/>
      <c r="D16" s="213"/>
      <c r="E16" s="213"/>
    </row>
  </sheetData>
  <mergeCells count="13">
    <mergeCell ref="A8:C8"/>
    <mergeCell ref="D8:E8"/>
    <mergeCell ref="A9:C9"/>
    <mergeCell ref="D9:E9"/>
    <mergeCell ref="A10:C10"/>
    <mergeCell ref="D10:E10"/>
    <mergeCell ref="A16:E16"/>
    <mergeCell ref="A11:C11"/>
    <mergeCell ref="D11:E11"/>
    <mergeCell ref="A12:C12"/>
    <mergeCell ref="D12:E12"/>
    <mergeCell ref="A13:C13"/>
    <mergeCell ref="D13:E1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A9C71-8A96-45EC-AA7A-7DE61F9699B3}">
  <sheetPr codeName="Sheet2"/>
  <dimension ref="A1:E19"/>
  <sheetViews>
    <sheetView showGridLines="0" workbookViewId="0">
      <pane ySplit="1" topLeftCell="A10" activePane="bottomLeft" state="frozen"/>
      <selection pane="bottomLeft" activeCell="A19" sqref="A19"/>
    </sheetView>
  </sheetViews>
  <sheetFormatPr defaultColWidth="9.109375" defaultRowHeight="14.4"/>
  <cols>
    <col min="1" max="1" width="10.33203125" style="160" customWidth="1"/>
    <col min="2" max="2" width="17.88671875" style="160" customWidth="1"/>
    <col min="3" max="3" width="78.33203125" style="156" customWidth="1"/>
    <col min="4" max="4" width="28.44140625" style="160" customWidth="1"/>
    <col min="5" max="16384" width="9.109375" style="160"/>
  </cols>
  <sheetData>
    <row r="1" spans="1:5">
      <c r="A1" s="171" t="s">
        <v>11</v>
      </c>
      <c r="B1" s="171" t="s">
        <v>12</v>
      </c>
      <c r="C1" s="171" t="s">
        <v>13</v>
      </c>
      <c r="D1" s="171" t="s">
        <v>14</v>
      </c>
    </row>
    <row r="2" spans="1:5">
      <c r="A2" s="169">
        <v>0.1</v>
      </c>
      <c r="B2" s="170">
        <v>44682</v>
      </c>
      <c r="C2" s="172" t="s">
        <v>15</v>
      </c>
      <c r="D2" s="169"/>
    </row>
    <row r="3" spans="1:5" ht="144">
      <c r="A3" s="221">
        <v>0.2</v>
      </c>
      <c r="B3" s="185" t="s">
        <v>16</v>
      </c>
      <c r="C3" s="186" t="s">
        <v>17</v>
      </c>
      <c r="D3" s="185" t="s">
        <v>18</v>
      </c>
    </row>
    <row r="4" spans="1:5" ht="100.8">
      <c r="A4" s="223"/>
      <c r="B4" s="187">
        <v>44873</v>
      </c>
      <c r="C4" s="186" t="s">
        <v>19</v>
      </c>
      <c r="D4" s="221" t="s">
        <v>20</v>
      </c>
    </row>
    <row r="5" spans="1:5" ht="43.2">
      <c r="A5" s="223"/>
      <c r="B5" s="187">
        <v>44570</v>
      </c>
      <c r="C5" s="186" t="s">
        <v>21</v>
      </c>
      <c r="D5" s="222"/>
    </row>
    <row r="6" spans="1:5" ht="28.8">
      <c r="A6" s="223"/>
      <c r="B6" s="185" t="s">
        <v>22</v>
      </c>
      <c r="C6" s="186" t="s">
        <v>23</v>
      </c>
      <c r="D6" s="185" t="s">
        <v>24</v>
      </c>
    </row>
    <row r="7" spans="1:5" ht="43.2">
      <c r="A7" s="222"/>
      <c r="B7" s="185" t="s">
        <v>25</v>
      </c>
      <c r="C7" s="186" t="s">
        <v>26</v>
      </c>
      <c r="D7" s="188" t="s">
        <v>27</v>
      </c>
    </row>
    <row r="8" spans="1:5" ht="172.8">
      <c r="A8" s="229" t="s">
        <v>28</v>
      </c>
      <c r="B8" s="224">
        <v>45050</v>
      </c>
      <c r="C8" s="186" t="s">
        <v>29</v>
      </c>
      <c r="D8" s="185" t="s">
        <v>18</v>
      </c>
    </row>
    <row r="9" spans="1:5" ht="28.8">
      <c r="A9" s="230"/>
      <c r="B9" s="225"/>
      <c r="C9" s="186" t="s">
        <v>30</v>
      </c>
      <c r="D9" s="185" t="s">
        <v>24</v>
      </c>
    </row>
    <row r="10" spans="1:5" ht="72">
      <c r="A10" s="230"/>
      <c r="B10" s="225"/>
      <c r="C10" s="186" t="s">
        <v>31</v>
      </c>
      <c r="D10" s="185" t="s">
        <v>20</v>
      </c>
    </row>
    <row r="11" spans="1:5" ht="57.6">
      <c r="A11" s="231"/>
      <c r="B11" s="226"/>
      <c r="C11" s="186" t="s">
        <v>32</v>
      </c>
      <c r="D11" s="185" t="s">
        <v>33</v>
      </c>
    </row>
    <row r="12" spans="1:5" ht="43.2">
      <c r="A12" s="189" t="s">
        <v>34</v>
      </c>
      <c r="B12" s="190">
        <v>45235</v>
      </c>
      <c r="C12" s="191" t="s">
        <v>35</v>
      </c>
      <c r="D12" s="192" t="s">
        <v>36</v>
      </c>
    </row>
    <row r="13" spans="1:5">
      <c r="A13" s="193">
        <v>2.1</v>
      </c>
      <c r="B13" s="193" t="s">
        <v>37</v>
      </c>
      <c r="C13" s="194" t="s">
        <v>38</v>
      </c>
      <c r="D13" s="193" t="s">
        <v>36</v>
      </c>
      <c r="E13" s="195"/>
    </row>
    <row r="14" spans="1:5">
      <c r="A14" s="227">
        <v>2.2000000000000002</v>
      </c>
      <c r="B14" s="227" t="s">
        <v>39</v>
      </c>
      <c r="C14" s="173" t="s">
        <v>40</v>
      </c>
      <c r="D14" s="193" t="s">
        <v>36</v>
      </c>
      <c r="E14" s="195"/>
    </row>
    <row r="15" spans="1:5">
      <c r="A15" s="228"/>
      <c r="B15" s="228"/>
      <c r="C15" s="173" t="s">
        <v>41</v>
      </c>
      <c r="D15" s="193" t="s">
        <v>36</v>
      </c>
      <c r="E15" s="195"/>
    </row>
    <row r="16" spans="1:5">
      <c r="A16" s="228"/>
      <c r="B16" s="228"/>
      <c r="C16" s="173" t="s">
        <v>42</v>
      </c>
      <c r="D16" s="193" t="s">
        <v>43</v>
      </c>
      <c r="E16" s="195"/>
    </row>
    <row r="17" spans="1:5">
      <c r="A17" s="228"/>
      <c r="B17" s="228"/>
      <c r="C17" s="174" t="s">
        <v>44</v>
      </c>
      <c r="D17" s="196" t="s">
        <v>45</v>
      </c>
      <c r="E17" s="195"/>
    </row>
    <row r="18" spans="1:5">
      <c r="A18" s="196">
        <v>2.2999999999999998</v>
      </c>
      <c r="B18" s="196" t="s">
        <v>46</v>
      </c>
      <c r="C18" s="212" t="s">
        <v>47</v>
      </c>
      <c r="D18" s="196"/>
      <c r="E18" s="195"/>
    </row>
    <row r="19" spans="1:5" ht="43.2">
      <c r="A19" s="203">
        <v>2.4</v>
      </c>
      <c r="B19" s="187">
        <v>45265</v>
      </c>
      <c r="C19" s="186" t="s">
        <v>509</v>
      </c>
      <c r="D19" s="207" t="s">
        <v>512</v>
      </c>
      <c r="E19" s="195"/>
    </row>
  </sheetData>
  <mergeCells count="6">
    <mergeCell ref="D4:D5"/>
    <mergeCell ref="A3:A7"/>
    <mergeCell ref="B8:B11"/>
    <mergeCell ref="B14:B17"/>
    <mergeCell ref="A14:A17"/>
    <mergeCell ref="A8:A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1064A-B3B5-4C9F-BD9C-BCF24D9CF90D}">
  <dimension ref="A1:X26"/>
  <sheetViews>
    <sheetView showGridLines="0" zoomScale="80" zoomScaleNormal="80" workbookViewId="0">
      <pane ySplit="1" topLeftCell="A2" activePane="bottomLeft" state="frozen"/>
      <selection activeCell="C8" sqref="C8"/>
      <selection pane="bottomLeft" activeCell="A26" sqref="A26"/>
    </sheetView>
  </sheetViews>
  <sheetFormatPr defaultColWidth="9.109375" defaultRowHeight="15" customHeight="1"/>
  <cols>
    <col min="1" max="1" width="9.109375" style="160"/>
    <col min="2" max="2" width="29.88671875" style="160" customWidth="1"/>
    <col min="3" max="3" width="24.109375" style="160" customWidth="1"/>
    <col min="4" max="4" width="38" style="151" bestFit="1" customWidth="1"/>
    <col min="5" max="5" width="32.109375" style="151" customWidth="1"/>
    <col min="6" max="6" width="7" style="160" bestFit="1" customWidth="1"/>
    <col min="7" max="7" width="5.88671875" style="160" bestFit="1" customWidth="1"/>
    <col min="8" max="8" width="8.33203125" style="160" bestFit="1" customWidth="1"/>
    <col min="9" max="9" width="6.88671875" style="160" bestFit="1" customWidth="1"/>
    <col min="10" max="10" width="33.44140625" style="151" customWidth="1"/>
    <col min="11" max="11" width="17" style="160" customWidth="1"/>
    <col min="12" max="12" width="16" style="160" customWidth="1"/>
    <col min="13" max="13" width="15.5546875" style="160" customWidth="1"/>
    <col min="14" max="14" width="12" style="160" customWidth="1"/>
    <col min="15" max="16" width="17.88671875" style="160" customWidth="1"/>
    <col min="17" max="17" width="9.109375" style="160"/>
    <col min="18" max="18" width="17.44140625" style="160" customWidth="1"/>
    <col min="19" max="19" width="9.109375" style="160"/>
    <col min="20" max="20" width="16" style="160" customWidth="1"/>
    <col min="21" max="21" width="16.109375" style="160" customWidth="1"/>
    <col min="22" max="16384" width="9.109375" style="160"/>
  </cols>
  <sheetData>
    <row r="1" spans="1:24" s="159" customFormat="1" ht="15" customHeight="1">
      <c r="A1" s="157" t="s">
        <v>48</v>
      </c>
      <c r="B1" s="157" t="s">
        <v>49</v>
      </c>
      <c r="C1" s="157" t="s">
        <v>50</v>
      </c>
      <c r="D1" s="152" t="s">
        <v>51</v>
      </c>
      <c r="E1" s="152" t="s">
        <v>52</v>
      </c>
      <c r="F1" s="157" t="s">
        <v>53</v>
      </c>
      <c r="G1" s="157" t="s">
        <v>54</v>
      </c>
      <c r="H1" s="157" t="s">
        <v>55</v>
      </c>
      <c r="I1" s="157" t="s">
        <v>56</v>
      </c>
      <c r="J1" s="152" t="s">
        <v>57</v>
      </c>
      <c r="K1" s="157" t="s">
        <v>58</v>
      </c>
      <c r="L1" s="157" t="s">
        <v>59</v>
      </c>
      <c r="M1" s="157" t="s">
        <v>60</v>
      </c>
      <c r="N1" s="157" t="s">
        <v>61</v>
      </c>
      <c r="O1" s="157" t="s">
        <v>62</v>
      </c>
      <c r="P1" s="157" t="s">
        <v>63</v>
      </c>
      <c r="Q1" s="157" t="s">
        <v>64</v>
      </c>
      <c r="R1" s="157" t="s">
        <v>65</v>
      </c>
      <c r="S1" s="157" t="s">
        <v>66</v>
      </c>
      <c r="T1" s="157" t="s">
        <v>67</v>
      </c>
      <c r="U1" s="165" t="s">
        <v>68</v>
      </c>
      <c r="V1" s="165" t="s">
        <v>69</v>
      </c>
      <c r="W1" s="157" t="s">
        <v>70</v>
      </c>
      <c r="X1" s="157" t="s">
        <v>71</v>
      </c>
    </row>
    <row r="2" spans="1:24" ht="15" customHeight="1">
      <c r="A2" s="221" t="s">
        <v>72</v>
      </c>
      <c r="B2" s="221" t="s">
        <v>73</v>
      </c>
      <c r="C2" s="221">
        <v>8</v>
      </c>
      <c r="D2" s="197" t="s">
        <v>74</v>
      </c>
      <c r="E2" s="197" t="s">
        <v>75</v>
      </c>
      <c r="F2" s="185">
        <v>0</v>
      </c>
      <c r="G2" s="185">
        <v>0</v>
      </c>
      <c r="H2" s="185">
        <v>3</v>
      </c>
      <c r="I2" s="185" t="s">
        <v>76</v>
      </c>
      <c r="J2" s="198" t="s">
        <v>77</v>
      </c>
      <c r="K2" s="185">
        <v>0</v>
      </c>
      <c r="L2" s="185">
        <v>7</v>
      </c>
      <c r="M2" s="185">
        <v>1</v>
      </c>
      <c r="N2" s="185">
        <v>0</v>
      </c>
      <c r="O2" s="185" t="s">
        <v>78</v>
      </c>
      <c r="P2" s="185" t="s">
        <v>78</v>
      </c>
      <c r="Q2" s="185">
        <v>0</v>
      </c>
      <c r="R2" s="185" t="s">
        <v>78</v>
      </c>
      <c r="S2" s="185"/>
      <c r="T2" s="185" t="s">
        <v>79</v>
      </c>
      <c r="U2" s="185" t="s">
        <v>80</v>
      </c>
      <c r="V2" s="185"/>
      <c r="W2" s="185"/>
      <c r="X2" s="185"/>
    </row>
    <row r="3" spans="1:24" ht="15" customHeight="1">
      <c r="A3" s="223"/>
      <c r="B3" s="223"/>
      <c r="C3" s="223"/>
      <c r="D3" s="197" t="s">
        <v>81</v>
      </c>
      <c r="E3" s="197" t="s">
        <v>82</v>
      </c>
      <c r="F3" s="185">
        <v>0</v>
      </c>
      <c r="G3" s="185">
        <v>3</v>
      </c>
      <c r="H3" s="185">
        <v>3</v>
      </c>
      <c r="I3" s="185" t="s">
        <v>76</v>
      </c>
      <c r="J3" s="198" t="s">
        <v>83</v>
      </c>
      <c r="K3" s="185">
        <v>0</v>
      </c>
      <c r="L3" s="185">
        <v>7</v>
      </c>
      <c r="M3" s="185">
        <v>1</v>
      </c>
      <c r="N3" s="185">
        <v>0</v>
      </c>
      <c r="O3" s="185" t="s">
        <v>78</v>
      </c>
      <c r="P3" s="185" t="s">
        <v>78</v>
      </c>
      <c r="Q3" s="185">
        <v>0</v>
      </c>
      <c r="R3" s="185" t="s">
        <v>78</v>
      </c>
      <c r="S3" s="185"/>
      <c r="T3" s="185" t="s">
        <v>79</v>
      </c>
      <c r="U3" s="185" t="s">
        <v>80</v>
      </c>
      <c r="V3" s="185"/>
      <c r="W3" s="185"/>
      <c r="X3" s="185"/>
    </row>
    <row r="4" spans="1:24" ht="15" customHeight="1">
      <c r="A4" s="223"/>
      <c r="B4" s="223"/>
      <c r="C4" s="223"/>
      <c r="D4" s="197" t="s">
        <v>84</v>
      </c>
      <c r="E4" s="197" t="s">
        <v>85</v>
      </c>
      <c r="F4" s="185">
        <v>0</v>
      </c>
      <c r="G4" s="185">
        <v>6</v>
      </c>
      <c r="H4" s="185">
        <v>2</v>
      </c>
      <c r="I4" s="185" t="s">
        <v>76</v>
      </c>
      <c r="J4" s="198" t="s">
        <v>86</v>
      </c>
      <c r="K4" s="185">
        <v>0</v>
      </c>
      <c r="L4" s="185">
        <v>3</v>
      </c>
      <c r="M4" s="185">
        <v>1</v>
      </c>
      <c r="N4" s="185">
        <v>0</v>
      </c>
      <c r="O4" s="185" t="s">
        <v>78</v>
      </c>
      <c r="P4" s="185" t="s">
        <v>78</v>
      </c>
      <c r="Q4" s="185"/>
      <c r="R4" s="185" t="s">
        <v>78</v>
      </c>
      <c r="S4" s="185"/>
      <c r="T4" s="185" t="s">
        <v>79</v>
      </c>
      <c r="U4" s="185" t="s">
        <v>80</v>
      </c>
      <c r="V4" s="185"/>
      <c r="W4" s="185"/>
      <c r="X4" s="185"/>
    </row>
    <row r="5" spans="1:24" ht="15" customHeight="1">
      <c r="A5" s="223"/>
      <c r="B5" s="223"/>
      <c r="C5" s="223"/>
      <c r="D5" s="197" t="s">
        <v>87</v>
      </c>
      <c r="E5" s="197" t="s">
        <v>88</v>
      </c>
      <c r="F5" s="185">
        <v>1</v>
      </c>
      <c r="G5" s="185">
        <v>0</v>
      </c>
      <c r="H5" s="185">
        <v>4</v>
      </c>
      <c r="I5" s="185" t="s">
        <v>76</v>
      </c>
      <c r="J5" s="198" t="s">
        <v>89</v>
      </c>
      <c r="K5" s="185">
        <v>0</v>
      </c>
      <c r="L5" s="185">
        <v>7</v>
      </c>
      <c r="M5" s="185">
        <v>1</v>
      </c>
      <c r="N5" s="185">
        <v>0</v>
      </c>
      <c r="O5" s="185" t="s">
        <v>78</v>
      </c>
      <c r="P5" s="185" t="s">
        <v>78</v>
      </c>
      <c r="Q5" s="185">
        <v>0</v>
      </c>
      <c r="R5" s="185" t="s">
        <v>78</v>
      </c>
      <c r="S5" s="185"/>
      <c r="T5" s="185" t="s">
        <v>79</v>
      </c>
      <c r="U5" s="185" t="s">
        <v>80</v>
      </c>
      <c r="V5" s="185"/>
      <c r="W5" s="185"/>
      <c r="X5" s="185"/>
    </row>
    <row r="6" spans="1:24" ht="15" customHeight="1">
      <c r="A6" s="223"/>
      <c r="B6" s="223"/>
      <c r="C6" s="223"/>
      <c r="D6" s="197" t="s">
        <v>90</v>
      </c>
      <c r="E6" s="197" t="s">
        <v>91</v>
      </c>
      <c r="F6" s="185">
        <v>1</v>
      </c>
      <c r="G6" s="185">
        <v>4</v>
      </c>
      <c r="H6" s="185">
        <v>3</v>
      </c>
      <c r="I6" s="185" t="s">
        <v>76</v>
      </c>
      <c r="J6" s="198" t="s">
        <v>92</v>
      </c>
      <c r="K6" s="185">
        <v>0</v>
      </c>
      <c r="L6" s="185">
        <v>7</v>
      </c>
      <c r="M6" s="185">
        <v>1</v>
      </c>
      <c r="N6" s="185">
        <v>0</v>
      </c>
      <c r="O6" s="185" t="s">
        <v>78</v>
      </c>
      <c r="P6" s="185" t="s">
        <v>78</v>
      </c>
      <c r="Q6" s="185">
        <v>0</v>
      </c>
      <c r="R6" s="185" t="s">
        <v>78</v>
      </c>
      <c r="S6" s="185"/>
      <c r="T6" s="185" t="s">
        <v>79</v>
      </c>
      <c r="U6" s="185" t="s">
        <v>80</v>
      </c>
      <c r="V6" s="185"/>
      <c r="W6" s="185"/>
      <c r="X6" s="185"/>
    </row>
    <row r="7" spans="1:24" ht="15" customHeight="1">
      <c r="A7" s="223"/>
      <c r="B7" s="223"/>
      <c r="C7" s="223"/>
      <c r="D7" s="197" t="s">
        <v>93</v>
      </c>
      <c r="E7" s="198" t="s">
        <v>94</v>
      </c>
      <c r="F7" s="185">
        <v>2</v>
      </c>
      <c r="G7" s="185">
        <v>0</v>
      </c>
      <c r="H7" s="185">
        <v>4</v>
      </c>
      <c r="I7" s="185" t="s">
        <v>76</v>
      </c>
      <c r="J7" s="198" t="s">
        <v>95</v>
      </c>
      <c r="K7" s="185">
        <v>0</v>
      </c>
      <c r="L7" s="185">
        <v>15</v>
      </c>
      <c r="M7" s="185">
        <v>1</v>
      </c>
      <c r="N7" s="185">
        <v>0</v>
      </c>
      <c r="O7" s="185" t="s">
        <v>78</v>
      </c>
      <c r="P7" s="185" t="s">
        <v>78</v>
      </c>
      <c r="Q7" s="185">
        <v>0</v>
      </c>
      <c r="R7" s="185" t="s">
        <v>78</v>
      </c>
      <c r="S7" s="185"/>
      <c r="T7" s="185" t="s">
        <v>79</v>
      </c>
      <c r="U7" s="185" t="s">
        <v>80</v>
      </c>
      <c r="V7" s="185"/>
      <c r="W7" s="185"/>
      <c r="X7" s="185"/>
    </row>
    <row r="8" spans="1:24" ht="15" customHeight="1">
      <c r="A8" s="223"/>
      <c r="B8" s="223"/>
      <c r="C8" s="223"/>
      <c r="D8" s="197" t="s">
        <v>96</v>
      </c>
      <c r="E8" s="197" t="s">
        <v>97</v>
      </c>
      <c r="F8" s="185">
        <v>2</v>
      </c>
      <c r="G8" s="185">
        <v>4</v>
      </c>
      <c r="H8" s="185">
        <v>3</v>
      </c>
      <c r="I8" s="185" t="s">
        <v>76</v>
      </c>
      <c r="J8" s="199" t="s">
        <v>98</v>
      </c>
      <c r="K8" s="185">
        <v>0</v>
      </c>
      <c r="L8" s="185">
        <v>7</v>
      </c>
      <c r="M8" s="185">
        <v>1</v>
      </c>
      <c r="N8" s="185">
        <v>0</v>
      </c>
      <c r="O8" s="185" t="s">
        <v>78</v>
      </c>
      <c r="P8" s="185" t="s">
        <v>78</v>
      </c>
      <c r="Q8" s="185">
        <v>0</v>
      </c>
      <c r="R8" s="185" t="s">
        <v>78</v>
      </c>
      <c r="S8" s="185"/>
      <c r="T8" s="185" t="s">
        <v>79</v>
      </c>
      <c r="U8" s="185" t="s">
        <v>80</v>
      </c>
      <c r="V8" s="185"/>
      <c r="W8" s="185"/>
      <c r="X8" s="185"/>
    </row>
    <row r="9" spans="1:24" ht="15" customHeight="1">
      <c r="A9" s="223"/>
      <c r="B9" s="223"/>
      <c r="C9" s="223"/>
      <c r="D9" s="197" t="s">
        <v>99</v>
      </c>
      <c r="E9" s="197" t="s">
        <v>100</v>
      </c>
      <c r="F9" s="185">
        <v>3</v>
      </c>
      <c r="G9" s="185">
        <v>0</v>
      </c>
      <c r="H9" s="185">
        <v>2</v>
      </c>
      <c r="I9" s="185" t="s">
        <v>76</v>
      </c>
      <c r="J9" s="200" t="s">
        <v>101</v>
      </c>
      <c r="K9" s="185">
        <v>0</v>
      </c>
      <c r="L9" s="185">
        <v>3</v>
      </c>
      <c r="M9" s="185">
        <v>1</v>
      </c>
      <c r="N9" s="185">
        <v>0</v>
      </c>
      <c r="O9" s="185" t="s">
        <v>78</v>
      </c>
      <c r="P9" s="185" t="s">
        <v>78</v>
      </c>
      <c r="Q9" s="185">
        <v>0</v>
      </c>
      <c r="R9" s="185" t="s">
        <v>78</v>
      </c>
      <c r="S9" s="185"/>
      <c r="T9" s="185" t="s">
        <v>79</v>
      </c>
      <c r="U9" s="185" t="s">
        <v>80</v>
      </c>
      <c r="V9" s="185"/>
      <c r="W9" s="185"/>
      <c r="X9" s="185"/>
    </row>
    <row r="10" spans="1:24" ht="15" customHeight="1">
      <c r="A10" s="223"/>
      <c r="B10" s="223"/>
      <c r="C10" s="223"/>
      <c r="D10" s="197" t="s">
        <v>102</v>
      </c>
      <c r="E10" s="197" t="s">
        <v>103</v>
      </c>
      <c r="F10" s="185">
        <v>3</v>
      </c>
      <c r="G10" s="185">
        <v>4</v>
      </c>
      <c r="H10" s="185">
        <v>2</v>
      </c>
      <c r="I10" s="185" t="s">
        <v>76</v>
      </c>
      <c r="J10" s="198" t="s">
        <v>104</v>
      </c>
      <c r="K10" s="185">
        <v>0</v>
      </c>
      <c r="L10" s="185">
        <v>3</v>
      </c>
      <c r="M10" s="185">
        <v>1</v>
      </c>
      <c r="N10" s="185">
        <v>0</v>
      </c>
      <c r="O10" s="185" t="s">
        <v>78</v>
      </c>
      <c r="P10" s="185" t="s">
        <v>78</v>
      </c>
      <c r="Q10" s="185">
        <v>0</v>
      </c>
      <c r="R10" s="185" t="s">
        <v>78</v>
      </c>
      <c r="S10" s="185"/>
      <c r="T10" s="185" t="s">
        <v>79</v>
      </c>
      <c r="U10" s="185" t="s">
        <v>80</v>
      </c>
      <c r="V10" s="185"/>
      <c r="W10" s="185"/>
      <c r="X10" s="185"/>
    </row>
    <row r="11" spans="1:24" ht="15" customHeight="1">
      <c r="A11" s="223"/>
      <c r="B11" s="223"/>
      <c r="C11" s="223"/>
      <c r="D11" s="197" t="s">
        <v>105</v>
      </c>
      <c r="E11" s="197" t="s">
        <v>106</v>
      </c>
      <c r="F11" s="185">
        <v>4</v>
      </c>
      <c r="G11" s="185">
        <v>0</v>
      </c>
      <c r="H11" s="185">
        <v>4</v>
      </c>
      <c r="I11" s="185" t="s">
        <v>76</v>
      </c>
      <c r="J11" s="198" t="s">
        <v>107</v>
      </c>
      <c r="K11" s="185">
        <v>0</v>
      </c>
      <c r="L11" s="185">
        <v>15</v>
      </c>
      <c r="M11" s="185">
        <v>1</v>
      </c>
      <c r="N11" s="185">
        <v>0</v>
      </c>
      <c r="O11" s="185" t="s">
        <v>78</v>
      </c>
      <c r="P11" s="185" t="s">
        <v>78</v>
      </c>
      <c r="Q11" s="185">
        <v>0</v>
      </c>
      <c r="R11" s="185" t="s">
        <v>78</v>
      </c>
      <c r="S11" s="185"/>
      <c r="T11" s="185" t="s">
        <v>79</v>
      </c>
      <c r="U11" s="185" t="s">
        <v>80</v>
      </c>
      <c r="V11" s="185"/>
      <c r="W11" s="185"/>
      <c r="X11" s="185"/>
    </row>
    <row r="12" spans="1:24" ht="15" customHeight="1">
      <c r="A12" s="223"/>
      <c r="B12" s="223"/>
      <c r="C12" s="223"/>
      <c r="D12" s="197" t="s">
        <v>108</v>
      </c>
      <c r="E12" s="197" t="s">
        <v>109</v>
      </c>
      <c r="F12" s="185">
        <v>4</v>
      </c>
      <c r="G12" s="185">
        <v>4</v>
      </c>
      <c r="H12" s="185">
        <v>1</v>
      </c>
      <c r="I12" s="185" t="s">
        <v>76</v>
      </c>
      <c r="J12" s="200" t="s">
        <v>110</v>
      </c>
      <c r="K12" s="185">
        <v>0</v>
      </c>
      <c r="L12" s="185">
        <v>1</v>
      </c>
      <c r="M12" s="185">
        <v>1</v>
      </c>
      <c r="N12" s="185">
        <v>0</v>
      </c>
      <c r="O12" s="185" t="s">
        <v>78</v>
      </c>
      <c r="P12" s="185" t="s">
        <v>78</v>
      </c>
      <c r="Q12" s="185">
        <v>0</v>
      </c>
      <c r="R12" s="185" t="s">
        <v>78</v>
      </c>
      <c r="S12" s="185"/>
      <c r="T12" s="185" t="s">
        <v>79</v>
      </c>
      <c r="U12" s="185" t="s">
        <v>80</v>
      </c>
      <c r="V12" s="185"/>
      <c r="W12" s="185"/>
      <c r="X12" s="185"/>
    </row>
    <row r="13" spans="1:24" ht="15" customHeight="1">
      <c r="A13" s="223"/>
      <c r="B13" s="223"/>
      <c r="C13" s="223"/>
      <c r="D13" s="197" t="s">
        <v>111</v>
      </c>
      <c r="E13" s="166" t="s">
        <v>112</v>
      </c>
      <c r="F13" s="185">
        <v>7</v>
      </c>
      <c r="G13" s="185">
        <v>0</v>
      </c>
      <c r="H13" s="185">
        <v>4</v>
      </c>
      <c r="I13" s="185" t="s">
        <v>113</v>
      </c>
      <c r="J13" s="198" t="s">
        <v>114</v>
      </c>
      <c r="K13" s="185">
        <v>0</v>
      </c>
      <c r="L13" s="185">
        <v>15</v>
      </c>
      <c r="M13" s="185">
        <v>1</v>
      </c>
      <c r="N13" s="185">
        <v>0</v>
      </c>
      <c r="O13" s="185" t="s">
        <v>78</v>
      </c>
      <c r="P13" s="185" t="s">
        <v>78</v>
      </c>
      <c r="Q13" s="185">
        <v>0</v>
      </c>
      <c r="R13" s="185" t="s">
        <v>78</v>
      </c>
      <c r="S13" s="185"/>
      <c r="T13" s="185" t="s">
        <v>79</v>
      </c>
      <c r="U13" s="185" t="s">
        <v>80</v>
      </c>
      <c r="V13" s="185"/>
      <c r="W13" s="185"/>
      <c r="X13" s="185"/>
    </row>
    <row r="14" spans="1:24" ht="15" customHeight="1" thickBot="1">
      <c r="A14" s="222"/>
      <c r="B14" s="222"/>
      <c r="C14" s="222"/>
      <c r="D14" s="197" t="s">
        <v>115</v>
      </c>
      <c r="E14" s="167" t="s">
        <v>116</v>
      </c>
      <c r="F14" s="185">
        <v>7</v>
      </c>
      <c r="G14" s="185">
        <v>4</v>
      </c>
      <c r="H14" s="185">
        <v>4</v>
      </c>
      <c r="I14" s="185" t="s">
        <v>113</v>
      </c>
      <c r="J14" s="198" t="s">
        <v>114</v>
      </c>
      <c r="K14" s="185">
        <v>0</v>
      </c>
      <c r="L14" s="185">
        <v>15</v>
      </c>
      <c r="M14" s="185">
        <v>1</v>
      </c>
      <c r="N14" s="185">
        <v>0</v>
      </c>
      <c r="O14" s="185" t="s">
        <v>78</v>
      </c>
      <c r="P14" s="185">
        <v>0</v>
      </c>
      <c r="Q14" s="185">
        <v>0</v>
      </c>
      <c r="R14" s="185" t="s">
        <v>78</v>
      </c>
      <c r="S14" s="185"/>
      <c r="T14" s="185" t="s">
        <v>79</v>
      </c>
      <c r="U14" s="185" t="s">
        <v>80</v>
      </c>
      <c r="V14" s="185"/>
      <c r="W14" s="185"/>
      <c r="X14" s="185"/>
    </row>
    <row r="15" spans="1:24" ht="15" customHeight="1">
      <c r="A15" s="185" t="s">
        <v>117</v>
      </c>
      <c r="B15" s="185" t="s">
        <v>118</v>
      </c>
      <c r="C15" s="185">
        <v>1</v>
      </c>
      <c r="D15" s="197" t="s">
        <v>119</v>
      </c>
      <c r="E15" s="197" t="s">
        <v>120</v>
      </c>
      <c r="F15" s="185">
        <v>0</v>
      </c>
      <c r="G15" s="185">
        <v>0</v>
      </c>
      <c r="H15" s="185">
        <v>1</v>
      </c>
      <c r="I15" s="185" t="s">
        <v>76</v>
      </c>
      <c r="J15" s="198" t="s">
        <v>121</v>
      </c>
      <c r="K15" s="185">
        <v>0</v>
      </c>
      <c r="L15" s="185">
        <v>1</v>
      </c>
      <c r="M15" s="185">
        <v>1</v>
      </c>
      <c r="N15" s="185">
        <v>0</v>
      </c>
      <c r="O15" s="185" t="s">
        <v>78</v>
      </c>
      <c r="P15" s="185" t="s">
        <v>78</v>
      </c>
      <c r="Q15" s="185">
        <v>0</v>
      </c>
      <c r="R15" s="185" t="s">
        <v>78</v>
      </c>
      <c r="S15" s="185"/>
      <c r="T15" s="185" t="s">
        <v>79</v>
      </c>
      <c r="U15" s="185" t="s">
        <v>80</v>
      </c>
      <c r="V15" s="185"/>
      <c r="W15" s="185"/>
      <c r="X15" s="185"/>
    </row>
    <row r="16" spans="1:24" ht="15" customHeight="1">
      <c r="A16" s="185" t="s">
        <v>122</v>
      </c>
      <c r="B16" s="185" t="s">
        <v>123</v>
      </c>
      <c r="C16" s="185">
        <v>8</v>
      </c>
      <c r="D16" s="154" t="s">
        <v>124</v>
      </c>
      <c r="E16" s="168" t="s">
        <v>125</v>
      </c>
      <c r="F16" s="185">
        <v>0</v>
      </c>
      <c r="G16" s="185">
        <v>0</v>
      </c>
      <c r="H16" s="185">
        <v>8</v>
      </c>
      <c r="I16" s="185" t="s">
        <v>113</v>
      </c>
      <c r="J16" s="198" t="s">
        <v>126</v>
      </c>
      <c r="K16" s="185"/>
      <c r="L16" s="185"/>
      <c r="M16" s="185"/>
      <c r="N16" s="185"/>
      <c r="O16" s="185" t="s">
        <v>78</v>
      </c>
      <c r="P16" s="185" t="s">
        <v>78</v>
      </c>
      <c r="Q16" s="185" t="s">
        <v>127</v>
      </c>
      <c r="R16" s="185" t="s">
        <v>78</v>
      </c>
      <c r="S16" s="185"/>
      <c r="T16" s="185" t="s">
        <v>80</v>
      </c>
      <c r="U16" s="185" t="s">
        <v>79</v>
      </c>
      <c r="V16" s="185"/>
      <c r="W16" s="185"/>
      <c r="X16" s="185"/>
    </row>
    <row r="17" spans="1:24" ht="15" customHeight="1">
      <c r="A17" s="221" t="s">
        <v>128</v>
      </c>
      <c r="B17" s="221" t="s">
        <v>129</v>
      </c>
      <c r="C17" s="221">
        <v>8</v>
      </c>
      <c r="D17" s="197" t="s">
        <v>130</v>
      </c>
      <c r="E17" s="168" t="s">
        <v>131</v>
      </c>
      <c r="F17" s="185">
        <v>0</v>
      </c>
      <c r="G17" s="185">
        <v>0</v>
      </c>
      <c r="H17" s="185">
        <v>40</v>
      </c>
      <c r="I17" s="185" t="s">
        <v>113</v>
      </c>
      <c r="J17" s="150" t="s">
        <v>78</v>
      </c>
      <c r="K17" s="185"/>
      <c r="L17" s="185"/>
      <c r="M17" s="185"/>
      <c r="N17" s="185"/>
      <c r="O17" s="185" t="s">
        <v>78</v>
      </c>
      <c r="P17" s="185" t="s">
        <v>78</v>
      </c>
      <c r="Q17" s="185" t="s">
        <v>78</v>
      </c>
      <c r="R17" s="185" t="s">
        <v>78</v>
      </c>
      <c r="S17" s="185" t="s">
        <v>78</v>
      </c>
      <c r="T17" s="185" t="s">
        <v>79</v>
      </c>
      <c r="U17" s="185" t="s">
        <v>80</v>
      </c>
      <c r="V17" s="185"/>
      <c r="W17" s="185"/>
      <c r="X17" s="185"/>
    </row>
    <row r="18" spans="1:24" ht="15" customHeight="1">
      <c r="A18" s="223"/>
      <c r="B18" s="223"/>
      <c r="C18" s="223"/>
      <c r="D18" s="197" t="s">
        <v>132</v>
      </c>
      <c r="E18" s="168" t="s">
        <v>133</v>
      </c>
      <c r="F18" s="185">
        <v>5</v>
      </c>
      <c r="G18" s="185">
        <v>0</v>
      </c>
      <c r="H18" s="185">
        <v>8</v>
      </c>
      <c r="I18" s="185" t="s">
        <v>113</v>
      </c>
      <c r="J18" s="150" t="s">
        <v>78</v>
      </c>
      <c r="K18" s="185">
        <v>1</v>
      </c>
      <c r="L18" s="185">
        <v>31</v>
      </c>
      <c r="M18" s="185">
        <v>1</v>
      </c>
      <c r="N18" s="185">
        <v>0</v>
      </c>
      <c r="O18" s="185" t="s">
        <v>78</v>
      </c>
      <c r="P18" s="185" t="s">
        <v>78</v>
      </c>
      <c r="Q18" s="185" t="s">
        <v>78</v>
      </c>
      <c r="R18" s="185" t="s">
        <v>78</v>
      </c>
      <c r="S18" s="185" t="s">
        <v>78</v>
      </c>
      <c r="T18" s="185" t="s">
        <v>79</v>
      </c>
      <c r="U18" s="185" t="s">
        <v>80</v>
      </c>
      <c r="V18" s="185"/>
      <c r="W18" s="185"/>
      <c r="X18" s="185"/>
    </row>
    <row r="19" spans="1:24" ht="15" customHeight="1">
      <c r="A19" s="223"/>
      <c r="B19" s="223"/>
      <c r="C19" s="223"/>
      <c r="D19" s="197" t="s">
        <v>134</v>
      </c>
      <c r="E19" s="168" t="s">
        <v>135</v>
      </c>
      <c r="F19" s="185">
        <v>6</v>
      </c>
      <c r="G19" s="185">
        <v>0</v>
      </c>
      <c r="H19" s="185">
        <v>8</v>
      </c>
      <c r="I19" s="185" t="s">
        <v>113</v>
      </c>
      <c r="J19" s="150" t="s">
        <v>78</v>
      </c>
      <c r="K19" s="185">
        <v>1</v>
      </c>
      <c r="L19" s="185">
        <v>12</v>
      </c>
      <c r="M19" s="185">
        <v>1</v>
      </c>
      <c r="N19" s="185">
        <v>0</v>
      </c>
      <c r="O19" s="185" t="s">
        <v>78</v>
      </c>
      <c r="P19" s="185" t="s">
        <v>78</v>
      </c>
      <c r="Q19" s="185" t="s">
        <v>78</v>
      </c>
      <c r="R19" s="185" t="s">
        <v>78</v>
      </c>
      <c r="S19" s="185" t="s">
        <v>78</v>
      </c>
      <c r="T19" s="185" t="s">
        <v>79</v>
      </c>
      <c r="U19" s="185" t="s">
        <v>80</v>
      </c>
      <c r="V19" s="185"/>
      <c r="W19" s="185"/>
      <c r="X19" s="185"/>
    </row>
    <row r="20" spans="1:24" ht="15" customHeight="1">
      <c r="A20" s="222"/>
      <c r="B20" s="222"/>
      <c r="C20" s="222"/>
      <c r="D20" s="197" t="s">
        <v>136</v>
      </c>
      <c r="E20" s="168" t="s">
        <v>137</v>
      </c>
      <c r="F20" s="185">
        <v>7</v>
      </c>
      <c r="G20" s="185">
        <v>0</v>
      </c>
      <c r="H20" s="185">
        <v>8</v>
      </c>
      <c r="I20" s="185" t="s">
        <v>113</v>
      </c>
      <c r="J20" s="150" t="s">
        <v>78</v>
      </c>
      <c r="K20" s="185">
        <v>22</v>
      </c>
      <c r="L20" s="185">
        <v>99</v>
      </c>
      <c r="M20" s="185">
        <v>1</v>
      </c>
      <c r="N20" s="185">
        <v>0</v>
      </c>
      <c r="O20" s="185" t="s">
        <v>78</v>
      </c>
      <c r="P20" s="185" t="s">
        <v>78</v>
      </c>
      <c r="Q20" s="185" t="s">
        <v>78</v>
      </c>
      <c r="R20" s="185" t="s">
        <v>78</v>
      </c>
      <c r="S20" s="185" t="s">
        <v>78</v>
      </c>
      <c r="T20" s="185" t="s">
        <v>79</v>
      </c>
      <c r="U20" s="185" t="s">
        <v>80</v>
      </c>
      <c r="V20" s="185"/>
      <c r="W20" s="185"/>
      <c r="X20" s="185"/>
    </row>
    <row r="21" spans="1:24" ht="15" customHeight="1">
      <c r="A21" s="221" t="s">
        <v>138</v>
      </c>
      <c r="B21" s="221" t="s">
        <v>139</v>
      </c>
      <c r="C21" s="221">
        <v>8</v>
      </c>
      <c r="D21" s="197" t="s">
        <v>140</v>
      </c>
      <c r="E21" s="168" t="s">
        <v>141</v>
      </c>
      <c r="F21" s="185">
        <v>0</v>
      </c>
      <c r="G21" s="185">
        <v>0</v>
      </c>
      <c r="H21" s="185">
        <v>40</v>
      </c>
      <c r="I21" s="185" t="s">
        <v>113</v>
      </c>
      <c r="J21" s="150" t="s">
        <v>78</v>
      </c>
      <c r="K21" s="185"/>
      <c r="L21" s="185"/>
      <c r="M21" s="185"/>
      <c r="N21" s="185"/>
      <c r="O21" s="185" t="s">
        <v>78</v>
      </c>
      <c r="P21" s="185" t="s">
        <v>78</v>
      </c>
      <c r="Q21" s="185" t="s">
        <v>78</v>
      </c>
      <c r="R21" s="185" t="s">
        <v>78</v>
      </c>
      <c r="S21" s="185" t="s">
        <v>78</v>
      </c>
      <c r="T21" s="185" t="s">
        <v>79</v>
      </c>
      <c r="U21" s="185" t="s">
        <v>80</v>
      </c>
      <c r="V21" s="185"/>
      <c r="W21" s="185"/>
      <c r="X21" s="185"/>
    </row>
    <row r="22" spans="1:24" ht="15" customHeight="1">
      <c r="A22" s="223"/>
      <c r="B22" s="223"/>
      <c r="C22" s="223"/>
      <c r="D22" s="197" t="s">
        <v>142</v>
      </c>
      <c r="E22" s="168" t="s">
        <v>143</v>
      </c>
      <c r="F22" s="185">
        <v>5</v>
      </c>
      <c r="G22" s="185">
        <v>0</v>
      </c>
      <c r="H22" s="185">
        <v>16</v>
      </c>
      <c r="I22" s="185" t="s">
        <v>113</v>
      </c>
      <c r="J22" s="150" t="s">
        <v>78</v>
      </c>
      <c r="K22" s="185">
        <v>0</v>
      </c>
      <c r="L22" s="185">
        <v>65535</v>
      </c>
      <c r="M22" s="185">
        <v>1</v>
      </c>
      <c r="N22" s="185">
        <v>0</v>
      </c>
      <c r="O22" s="185" t="s">
        <v>78</v>
      </c>
      <c r="P22" s="185" t="s">
        <v>78</v>
      </c>
      <c r="Q22" s="185" t="s">
        <v>78</v>
      </c>
      <c r="R22" s="185" t="s">
        <v>78</v>
      </c>
      <c r="S22" s="185" t="s">
        <v>78</v>
      </c>
      <c r="T22" s="185" t="s">
        <v>79</v>
      </c>
      <c r="U22" s="185" t="s">
        <v>80</v>
      </c>
      <c r="V22" s="185"/>
      <c r="W22" s="185"/>
      <c r="X22" s="185"/>
    </row>
    <row r="23" spans="1:24" ht="15" customHeight="1">
      <c r="A23" s="185" t="s">
        <v>144</v>
      </c>
      <c r="B23" s="185" t="s">
        <v>145</v>
      </c>
      <c r="C23" s="185">
        <v>8</v>
      </c>
      <c r="D23" s="197" t="s">
        <v>146</v>
      </c>
      <c r="E23" s="168" t="s">
        <v>147</v>
      </c>
      <c r="F23" s="185">
        <v>0</v>
      </c>
      <c r="G23" s="185">
        <v>0</v>
      </c>
      <c r="H23" s="185">
        <v>64</v>
      </c>
      <c r="I23" s="185" t="s">
        <v>113</v>
      </c>
      <c r="J23" s="150" t="s">
        <v>78</v>
      </c>
      <c r="K23" s="185"/>
      <c r="L23" s="185"/>
      <c r="M23" s="185"/>
      <c r="N23" s="185"/>
      <c r="O23" s="185" t="s">
        <v>78</v>
      </c>
      <c r="P23" s="185" t="s">
        <v>78</v>
      </c>
      <c r="Q23" s="185" t="s">
        <v>78</v>
      </c>
      <c r="R23" s="185" t="s">
        <v>78</v>
      </c>
      <c r="S23" s="185" t="s">
        <v>78</v>
      </c>
      <c r="T23" s="185" t="s">
        <v>79</v>
      </c>
      <c r="U23" s="185" t="s">
        <v>80</v>
      </c>
      <c r="V23" s="185"/>
      <c r="W23" s="185"/>
      <c r="X23" s="185"/>
    </row>
    <row r="24" spans="1:24" ht="15" customHeight="1">
      <c r="A24" s="185" t="s">
        <v>148</v>
      </c>
      <c r="B24" s="185" t="s">
        <v>149</v>
      </c>
      <c r="C24" s="185">
        <v>8</v>
      </c>
      <c r="D24" s="197" t="s">
        <v>150</v>
      </c>
      <c r="E24" s="168" t="s">
        <v>147</v>
      </c>
      <c r="F24" s="185">
        <v>0</v>
      </c>
      <c r="G24" s="185">
        <v>0</v>
      </c>
      <c r="H24" s="185">
        <v>64</v>
      </c>
      <c r="I24" s="185" t="s">
        <v>113</v>
      </c>
      <c r="J24" s="150" t="s">
        <v>78</v>
      </c>
      <c r="K24" s="185"/>
      <c r="L24" s="185"/>
      <c r="M24" s="185"/>
      <c r="N24" s="185"/>
      <c r="O24" s="185" t="s">
        <v>78</v>
      </c>
      <c r="P24" s="185" t="s">
        <v>78</v>
      </c>
      <c r="Q24" s="185" t="s">
        <v>78</v>
      </c>
      <c r="R24" s="185" t="s">
        <v>78</v>
      </c>
      <c r="S24" s="185" t="s">
        <v>78</v>
      </c>
      <c r="T24" s="185" t="s">
        <v>79</v>
      </c>
      <c r="U24" s="185" t="s">
        <v>80</v>
      </c>
      <c r="V24" s="185"/>
      <c r="W24" s="185"/>
      <c r="X24" s="185"/>
    </row>
    <row r="25" spans="1:24" ht="15" customHeight="1">
      <c r="A25" s="185" t="s">
        <v>151</v>
      </c>
      <c r="B25" s="185" t="s">
        <v>152</v>
      </c>
      <c r="C25" s="185">
        <v>8</v>
      </c>
      <c r="D25" s="197" t="s">
        <v>153</v>
      </c>
      <c r="E25" s="168" t="s">
        <v>147</v>
      </c>
      <c r="F25" s="185">
        <v>0</v>
      </c>
      <c r="G25" s="185">
        <v>0</v>
      </c>
      <c r="H25" s="185">
        <v>32</v>
      </c>
      <c r="I25" s="185" t="s">
        <v>113</v>
      </c>
      <c r="J25" s="150" t="s">
        <v>78</v>
      </c>
      <c r="K25" s="185"/>
      <c r="L25" s="185"/>
      <c r="M25" s="185"/>
      <c r="N25" s="185"/>
      <c r="O25" s="185" t="s">
        <v>78</v>
      </c>
      <c r="P25" s="185" t="s">
        <v>78</v>
      </c>
      <c r="Q25" s="185" t="s">
        <v>78</v>
      </c>
      <c r="R25" s="185" t="s">
        <v>78</v>
      </c>
      <c r="S25" s="185" t="s">
        <v>78</v>
      </c>
      <c r="T25" s="185" t="s">
        <v>79</v>
      </c>
      <c r="U25" s="185" t="s">
        <v>80</v>
      </c>
      <c r="V25" s="185"/>
      <c r="W25" s="185"/>
      <c r="X25" s="185"/>
    </row>
    <row r="26" spans="1:24" ht="15" customHeight="1">
      <c r="A26" s="195"/>
      <c r="B26" s="195"/>
      <c r="C26" s="195"/>
      <c r="D26" s="201"/>
      <c r="E26" s="201"/>
      <c r="F26" s="195"/>
      <c r="G26" s="195"/>
      <c r="H26" s="195"/>
      <c r="I26" s="195"/>
      <c r="J26" s="201"/>
      <c r="K26" s="195"/>
      <c r="L26" s="195"/>
      <c r="M26" s="195"/>
      <c r="N26" s="195"/>
      <c r="O26" s="195"/>
      <c r="P26" s="195"/>
      <c r="Q26" s="195"/>
      <c r="R26" s="195"/>
      <c r="S26" s="195"/>
      <c r="T26" s="195"/>
      <c r="U26" s="195"/>
      <c r="V26" s="195"/>
      <c r="W26" s="195"/>
      <c r="X26" s="195"/>
    </row>
  </sheetData>
  <mergeCells count="9">
    <mergeCell ref="A21:A22"/>
    <mergeCell ref="B21:B22"/>
    <mergeCell ref="C21:C22"/>
    <mergeCell ref="A2:A14"/>
    <mergeCell ref="B2:B14"/>
    <mergeCell ref="C2:C14"/>
    <mergeCell ref="A17:A20"/>
    <mergeCell ref="B17:B20"/>
    <mergeCell ref="C17:C20"/>
  </mergeCells>
  <pageMargins left="0.7" right="0.7" top="0.75" bottom="0.75" header="0.3" footer="0.3"/>
  <pageSetup orientation="portrait" horizontalDpi="90" verticalDpi="9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7E95-037E-426F-BC6F-519A61AA68B6}">
  <dimension ref="A1:R23"/>
  <sheetViews>
    <sheetView showGridLines="0" zoomScale="80" zoomScaleNormal="80" workbookViewId="0">
      <selection activeCell="A24" sqref="A24"/>
    </sheetView>
  </sheetViews>
  <sheetFormatPr defaultColWidth="9.109375" defaultRowHeight="15" customHeight="1"/>
  <cols>
    <col min="1" max="1" width="9.109375" style="160"/>
    <col min="2" max="2" width="27.5546875" style="160" customWidth="1"/>
    <col min="3" max="3" width="15.6640625" style="160" customWidth="1"/>
    <col min="4" max="4" width="50.5546875" style="156" customWidth="1"/>
    <col min="5" max="5" width="30.6640625" style="151" customWidth="1"/>
    <col min="6" max="6" width="14.88671875" style="160" customWidth="1"/>
    <col min="7" max="7" width="15.6640625" style="160" customWidth="1"/>
    <col min="8" max="9" width="9.109375" style="160"/>
    <col min="10" max="10" width="25.109375" style="151" customWidth="1"/>
    <col min="11" max="12" width="9.109375" style="160"/>
    <col min="13" max="13" width="12" style="160" bestFit="1" customWidth="1"/>
    <col min="14" max="16384" width="9.109375" style="160"/>
  </cols>
  <sheetData>
    <row r="1" spans="1:18" s="159" customFormat="1" ht="15" customHeight="1">
      <c r="A1" s="157" t="s">
        <v>48</v>
      </c>
      <c r="B1" s="157" t="s">
        <v>49</v>
      </c>
      <c r="C1" s="157" t="s">
        <v>50</v>
      </c>
      <c r="D1" s="155" t="s">
        <v>154</v>
      </c>
      <c r="E1" s="152" t="s">
        <v>155</v>
      </c>
      <c r="F1" s="157" t="s">
        <v>53</v>
      </c>
      <c r="G1" s="158" t="s">
        <v>54</v>
      </c>
      <c r="H1" s="157" t="s">
        <v>55</v>
      </c>
      <c r="I1" s="157" t="s">
        <v>156</v>
      </c>
      <c r="J1" s="152" t="s">
        <v>157</v>
      </c>
      <c r="K1" s="157" t="s">
        <v>158</v>
      </c>
      <c r="L1" s="157" t="s">
        <v>159</v>
      </c>
      <c r="M1" s="157" t="s">
        <v>160</v>
      </c>
      <c r="N1" s="157" t="s">
        <v>60</v>
      </c>
      <c r="O1" s="157" t="s">
        <v>61</v>
      </c>
      <c r="P1" s="157" t="s">
        <v>62</v>
      </c>
      <c r="Q1" s="157" t="s">
        <v>67</v>
      </c>
      <c r="R1" s="157" t="s">
        <v>68</v>
      </c>
    </row>
    <row r="2" spans="1:18" ht="15" customHeight="1">
      <c r="A2" s="221" t="s">
        <v>161</v>
      </c>
      <c r="B2" s="234" t="s">
        <v>162</v>
      </c>
      <c r="C2" s="234">
        <v>8</v>
      </c>
      <c r="D2" s="202" t="s">
        <v>163</v>
      </c>
      <c r="E2" s="197" t="s">
        <v>164</v>
      </c>
      <c r="F2" s="185">
        <v>0</v>
      </c>
      <c r="G2" s="185">
        <v>0</v>
      </c>
      <c r="H2" s="185">
        <v>1</v>
      </c>
      <c r="I2" s="185" t="s">
        <v>165</v>
      </c>
      <c r="J2" s="200" t="s">
        <v>166</v>
      </c>
      <c r="K2" s="185" t="s">
        <v>167</v>
      </c>
      <c r="L2" s="185">
        <v>0</v>
      </c>
      <c r="M2" s="185">
        <v>1</v>
      </c>
      <c r="N2" s="185">
        <v>1</v>
      </c>
      <c r="O2" s="185">
        <v>0</v>
      </c>
      <c r="P2" s="185" t="s">
        <v>168</v>
      </c>
      <c r="Q2" s="185" t="s">
        <v>169</v>
      </c>
      <c r="R2" s="185" t="s">
        <v>80</v>
      </c>
    </row>
    <row r="3" spans="1:18" ht="15" customHeight="1">
      <c r="A3" s="223"/>
      <c r="B3" s="235"/>
      <c r="C3" s="235"/>
      <c r="D3" s="186" t="s">
        <v>170</v>
      </c>
      <c r="E3" s="197" t="s">
        <v>171</v>
      </c>
      <c r="F3" s="185">
        <v>0</v>
      </c>
      <c r="G3" s="185">
        <v>1</v>
      </c>
      <c r="H3" s="185">
        <v>1</v>
      </c>
      <c r="I3" s="185" t="s">
        <v>165</v>
      </c>
      <c r="J3" s="200" t="s">
        <v>166</v>
      </c>
      <c r="K3" s="185" t="s">
        <v>167</v>
      </c>
      <c r="L3" s="185">
        <v>0</v>
      </c>
      <c r="M3" s="185">
        <v>1</v>
      </c>
      <c r="N3" s="185">
        <v>1</v>
      </c>
      <c r="O3" s="185">
        <v>0</v>
      </c>
      <c r="P3" s="185" t="s">
        <v>168</v>
      </c>
      <c r="Q3" s="185" t="s">
        <v>169</v>
      </c>
      <c r="R3" s="185" t="s">
        <v>80</v>
      </c>
    </row>
    <row r="4" spans="1:18" ht="15" customHeight="1">
      <c r="A4" s="223"/>
      <c r="B4" s="235"/>
      <c r="C4" s="235"/>
      <c r="D4" s="186" t="s">
        <v>172</v>
      </c>
      <c r="E4" s="197" t="s">
        <v>173</v>
      </c>
      <c r="F4" s="185">
        <v>0</v>
      </c>
      <c r="G4" s="185">
        <v>2</v>
      </c>
      <c r="H4" s="185">
        <v>1</v>
      </c>
      <c r="I4" s="185" t="s">
        <v>165</v>
      </c>
      <c r="J4" s="200" t="s">
        <v>166</v>
      </c>
      <c r="K4" s="185" t="s">
        <v>167</v>
      </c>
      <c r="L4" s="185">
        <v>0</v>
      </c>
      <c r="M4" s="185">
        <v>1</v>
      </c>
      <c r="N4" s="185">
        <v>1</v>
      </c>
      <c r="O4" s="185">
        <v>0</v>
      </c>
      <c r="P4" s="185" t="s">
        <v>168</v>
      </c>
      <c r="Q4" s="185" t="s">
        <v>169</v>
      </c>
      <c r="R4" s="185" t="s">
        <v>80</v>
      </c>
    </row>
    <row r="5" spans="1:18" ht="15" customHeight="1">
      <c r="A5" s="223"/>
      <c r="B5" s="235"/>
      <c r="C5" s="235"/>
      <c r="D5" s="202" t="s">
        <v>174</v>
      </c>
      <c r="E5" s="197" t="s">
        <v>175</v>
      </c>
      <c r="F5" s="185">
        <v>0</v>
      </c>
      <c r="G5" s="185">
        <v>3</v>
      </c>
      <c r="H5" s="185">
        <v>1</v>
      </c>
      <c r="I5" s="185" t="s">
        <v>165</v>
      </c>
      <c r="J5" s="200" t="s">
        <v>166</v>
      </c>
      <c r="K5" s="185" t="s">
        <v>167</v>
      </c>
      <c r="L5" s="185">
        <v>0</v>
      </c>
      <c r="M5" s="185">
        <v>1</v>
      </c>
      <c r="N5" s="185">
        <v>1</v>
      </c>
      <c r="O5" s="185">
        <v>0</v>
      </c>
      <c r="P5" s="185" t="s">
        <v>168</v>
      </c>
      <c r="Q5" s="185" t="s">
        <v>169</v>
      </c>
      <c r="R5" s="185" t="s">
        <v>80</v>
      </c>
    </row>
    <row r="6" spans="1:18" ht="15" customHeight="1">
      <c r="A6" s="223"/>
      <c r="B6" s="235"/>
      <c r="C6" s="235"/>
      <c r="D6" s="202" t="s">
        <v>176</v>
      </c>
      <c r="E6" s="197" t="s">
        <v>177</v>
      </c>
      <c r="F6" s="185">
        <v>0</v>
      </c>
      <c r="G6" s="185">
        <v>4</v>
      </c>
      <c r="H6" s="185">
        <v>3</v>
      </c>
      <c r="I6" s="185" t="s">
        <v>165</v>
      </c>
      <c r="J6" s="198" t="s">
        <v>178</v>
      </c>
      <c r="K6" s="185" t="s">
        <v>167</v>
      </c>
      <c r="L6" s="185">
        <v>0</v>
      </c>
      <c r="M6" s="185">
        <v>7</v>
      </c>
      <c r="N6" s="185">
        <v>1</v>
      </c>
      <c r="O6" s="185">
        <v>0</v>
      </c>
      <c r="P6" s="185" t="s">
        <v>168</v>
      </c>
      <c r="Q6" s="185" t="s">
        <v>169</v>
      </c>
      <c r="R6" s="185" t="s">
        <v>80</v>
      </c>
    </row>
    <row r="7" spans="1:18" ht="15" customHeight="1">
      <c r="A7" s="223"/>
      <c r="B7" s="235"/>
      <c r="C7" s="235"/>
      <c r="D7" s="202" t="s">
        <v>179</v>
      </c>
      <c r="E7" s="197" t="s">
        <v>180</v>
      </c>
      <c r="F7" s="185">
        <v>1</v>
      </c>
      <c r="G7" s="185">
        <v>0</v>
      </c>
      <c r="H7" s="185">
        <v>3</v>
      </c>
      <c r="I7" s="185" t="s">
        <v>165</v>
      </c>
      <c r="J7" s="198" t="s">
        <v>178</v>
      </c>
      <c r="K7" s="185" t="s">
        <v>167</v>
      </c>
      <c r="L7" s="185">
        <v>0</v>
      </c>
      <c r="M7" s="185">
        <v>7</v>
      </c>
      <c r="N7" s="185">
        <v>1</v>
      </c>
      <c r="O7" s="185">
        <v>0</v>
      </c>
      <c r="P7" s="185" t="s">
        <v>168</v>
      </c>
      <c r="Q7" s="185" t="s">
        <v>169</v>
      </c>
      <c r="R7" s="185" t="s">
        <v>80</v>
      </c>
    </row>
    <row r="8" spans="1:18" ht="15" customHeight="1">
      <c r="A8" s="223"/>
      <c r="B8" s="235"/>
      <c r="C8" s="235"/>
      <c r="D8" s="202" t="s">
        <v>181</v>
      </c>
      <c r="E8" s="197" t="s">
        <v>182</v>
      </c>
      <c r="F8" s="185">
        <v>1</v>
      </c>
      <c r="G8" s="185">
        <v>3</v>
      </c>
      <c r="H8" s="185">
        <v>3</v>
      </c>
      <c r="I8" s="185" t="s">
        <v>165</v>
      </c>
      <c r="J8" s="198" t="s">
        <v>178</v>
      </c>
      <c r="K8" s="185" t="s">
        <v>167</v>
      </c>
      <c r="L8" s="185">
        <v>0</v>
      </c>
      <c r="M8" s="185">
        <v>7</v>
      </c>
      <c r="N8" s="185">
        <v>1</v>
      </c>
      <c r="O8" s="185">
        <v>0</v>
      </c>
      <c r="P8" s="185" t="s">
        <v>168</v>
      </c>
      <c r="Q8" s="185" t="s">
        <v>169</v>
      </c>
      <c r="R8" s="185" t="s">
        <v>80</v>
      </c>
    </row>
    <row r="9" spans="1:18" ht="15" customHeight="1">
      <c r="A9" s="223"/>
      <c r="B9" s="235"/>
      <c r="C9" s="235"/>
      <c r="D9" s="202" t="s">
        <v>183</v>
      </c>
      <c r="E9" s="197" t="s">
        <v>184</v>
      </c>
      <c r="F9" s="185">
        <v>2</v>
      </c>
      <c r="G9" s="185">
        <v>0</v>
      </c>
      <c r="H9" s="185">
        <v>3</v>
      </c>
      <c r="I9" s="185" t="s">
        <v>165</v>
      </c>
      <c r="J9" s="198" t="s">
        <v>178</v>
      </c>
      <c r="K9" s="185" t="s">
        <v>167</v>
      </c>
      <c r="L9" s="185">
        <v>0</v>
      </c>
      <c r="M9" s="185">
        <v>7</v>
      </c>
      <c r="N9" s="185">
        <v>1</v>
      </c>
      <c r="O9" s="185">
        <v>0</v>
      </c>
      <c r="P9" s="185" t="s">
        <v>168</v>
      </c>
      <c r="Q9" s="185" t="s">
        <v>169</v>
      </c>
      <c r="R9" s="185" t="s">
        <v>80</v>
      </c>
    </row>
    <row r="10" spans="1:18" ht="15" customHeight="1">
      <c r="A10" s="223"/>
      <c r="B10" s="235"/>
      <c r="C10" s="235"/>
      <c r="D10" s="202" t="s">
        <v>185</v>
      </c>
      <c r="E10" s="197" t="s">
        <v>186</v>
      </c>
      <c r="F10" s="185">
        <v>2</v>
      </c>
      <c r="G10" s="185">
        <v>6</v>
      </c>
      <c r="H10" s="185">
        <v>2</v>
      </c>
      <c r="I10" s="185" t="s">
        <v>76</v>
      </c>
      <c r="J10" s="198" t="s">
        <v>187</v>
      </c>
      <c r="K10" s="185" t="s">
        <v>167</v>
      </c>
      <c r="L10" s="185">
        <v>0</v>
      </c>
      <c r="M10" s="185">
        <v>3</v>
      </c>
      <c r="N10" s="185">
        <v>1</v>
      </c>
      <c r="O10" s="185">
        <v>0</v>
      </c>
      <c r="P10" s="185" t="s">
        <v>168</v>
      </c>
      <c r="Q10" s="185" t="s">
        <v>169</v>
      </c>
      <c r="R10" s="185" t="s">
        <v>80</v>
      </c>
    </row>
    <row r="11" spans="1:18" ht="15" customHeight="1">
      <c r="A11" s="223"/>
      <c r="B11" s="235"/>
      <c r="C11" s="235"/>
      <c r="D11" s="202" t="s">
        <v>188</v>
      </c>
      <c r="E11" s="197" t="s">
        <v>189</v>
      </c>
      <c r="F11" s="185">
        <v>2</v>
      </c>
      <c r="G11" s="185">
        <v>3</v>
      </c>
      <c r="H11" s="185">
        <v>3</v>
      </c>
      <c r="I11" s="185" t="s">
        <v>76</v>
      </c>
      <c r="J11" s="198" t="s">
        <v>190</v>
      </c>
      <c r="K11" s="185" t="s">
        <v>167</v>
      </c>
      <c r="L11" s="185">
        <v>0</v>
      </c>
      <c r="M11" s="185">
        <v>7</v>
      </c>
      <c r="N11" s="185">
        <v>1</v>
      </c>
      <c r="O11" s="185">
        <v>0</v>
      </c>
      <c r="P11" s="185" t="s">
        <v>168</v>
      </c>
      <c r="Q11" s="185" t="s">
        <v>169</v>
      </c>
      <c r="R11" s="185" t="s">
        <v>80</v>
      </c>
    </row>
    <row r="12" spans="1:18" ht="15" customHeight="1">
      <c r="A12" s="223"/>
      <c r="B12" s="235"/>
      <c r="C12" s="235"/>
      <c r="D12" s="202" t="s">
        <v>191</v>
      </c>
      <c r="E12" s="197" t="s">
        <v>192</v>
      </c>
      <c r="F12" s="185">
        <v>3</v>
      </c>
      <c r="G12" s="185">
        <v>0</v>
      </c>
      <c r="H12" s="185">
        <v>8</v>
      </c>
      <c r="I12" s="185" t="s">
        <v>113</v>
      </c>
      <c r="J12" s="198" t="s">
        <v>193</v>
      </c>
      <c r="K12" s="185" t="s">
        <v>194</v>
      </c>
      <c r="L12" s="185">
        <v>0</v>
      </c>
      <c r="M12" s="185">
        <v>255</v>
      </c>
      <c r="N12" s="185">
        <v>1</v>
      </c>
      <c r="O12" s="185">
        <v>0</v>
      </c>
      <c r="P12" s="185" t="s">
        <v>195</v>
      </c>
      <c r="Q12" s="185" t="s">
        <v>169</v>
      </c>
      <c r="R12" s="185" t="s">
        <v>80</v>
      </c>
    </row>
    <row r="13" spans="1:18" ht="15" customHeight="1">
      <c r="A13" s="223"/>
      <c r="B13" s="235"/>
      <c r="C13" s="235"/>
      <c r="D13" s="202" t="s">
        <v>196</v>
      </c>
      <c r="E13" s="198" t="s">
        <v>197</v>
      </c>
      <c r="F13" s="185">
        <v>4</v>
      </c>
      <c r="G13" s="185">
        <v>0</v>
      </c>
      <c r="H13" s="185">
        <v>2</v>
      </c>
      <c r="I13" s="185" t="s">
        <v>76</v>
      </c>
      <c r="J13" s="198" t="s">
        <v>198</v>
      </c>
      <c r="K13" s="185"/>
      <c r="L13" s="185">
        <v>0</v>
      </c>
      <c r="M13" s="185">
        <v>3</v>
      </c>
      <c r="N13" s="185">
        <v>1</v>
      </c>
      <c r="O13" s="185">
        <v>0</v>
      </c>
      <c r="P13" s="185" t="s">
        <v>168</v>
      </c>
      <c r="Q13" s="185" t="s">
        <v>169</v>
      </c>
      <c r="R13" s="185" t="s">
        <v>80</v>
      </c>
    </row>
    <row r="14" spans="1:18" ht="15" customHeight="1">
      <c r="A14" s="222"/>
      <c r="B14" s="236"/>
      <c r="C14" s="236"/>
      <c r="D14" s="202" t="s">
        <v>199</v>
      </c>
      <c r="E14" s="198" t="s">
        <v>200</v>
      </c>
      <c r="F14" s="185">
        <v>4</v>
      </c>
      <c r="G14" s="185">
        <v>2</v>
      </c>
      <c r="H14" s="185">
        <v>1</v>
      </c>
      <c r="I14" s="185" t="s">
        <v>76</v>
      </c>
      <c r="J14" s="198" t="s">
        <v>201</v>
      </c>
      <c r="K14" s="185" t="s">
        <v>167</v>
      </c>
      <c r="L14" s="185">
        <v>0</v>
      </c>
      <c r="M14" s="185">
        <v>1</v>
      </c>
      <c r="N14" s="185">
        <v>1</v>
      </c>
      <c r="O14" s="185">
        <v>0</v>
      </c>
      <c r="P14" s="185" t="s">
        <v>168</v>
      </c>
      <c r="Q14" s="185" t="s">
        <v>169</v>
      </c>
      <c r="R14" s="185" t="s">
        <v>80</v>
      </c>
    </row>
    <row r="15" spans="1:18" ht="15" customHeight="1">
      <c r="A15" s="232" t="s">
        <v>202</v>
      </c>
      <c r="B15" s="233" t="s">
        <v>203</v>
      </c>
      <c r="C15" s="233">
        <v>8</v>
      </c>
      <c r="D15" s="186" t="s">
        <v>204</v>
      </c>
      <c r="E15" s="198" t="s">
        <v>205</v>
      </c>
      <c r="F15" s="185">
        <v>0</v>
      </c>
      <c r="G15" s="185">
        <v>0</v>
      </c>
      <c r="H15" s="185">
        <v>16</v>
      </c>
      <c r="I15" s="185" t="s">
        <v>113</v>
      </c>
      <c r="J15" s="198" t="s">
        <v>193</v>
      </c>
      <c r="K15" s="188" t="s">
        <v>167</v>
      </c>
      <c r="L15" s="188">
        <v>0</v>
      </c>
      <c r="M15" s="188">
        <v>655.34</v>
      </c>
      <c r="N15" s="188">
        <v>0.01</v>
      </c>
      <c r="O15" s="188">
        <v>0</v>
      </c>
      <c r="P15" s="188" t="s">
        <v>206</v>
      </c>
      <c r="Q15" s="185" t="s">
        <v>80</v>
      </c>
      <c r="R15" s="185" t="s">
        <v>169</v>
      </c>
    </row>
    <row r="16" spans="1:18" ht="15" customHeight="1">
      <c r="A16" s="232"/>
      <c r="B16" s="233"/>
      <c r="C16" s="233"/>
      <c r="D16" s="186" t="s">
        <v>207</v>
      </c>
      <c r="E16" s="198" t="s">
        <v>208</v>
      </c>
      <c r="F16" s="185">
        <v>2</v>
      </c>
      <c r="G16" s="185">
        <v>0</v>
      </c>
      <c r="H16" s="185">
        <v>1</v>
      </c>
      <c r="I16" s="185" t="s">
        <v>165</v>
      </c>
      <c r="J16" s="198" t="s">
        <v>209</v>
      </c>
      <c r="K16" s="188" t="s">
        <v>167</v>
      </c>
      <c r="L16" s="188">
        <v>0</v>
      </c>
      <c r="M16" s="188">
        <v>1</v>
      </c>
      <c r="N16" s="188">
        <v>1</v>
      </c>
      <c r="O16" s="188">
        <v>0</v>
      </c>
      <c r="P16" s="188" t="s">
        <v>168</v>
      </c>
      <c r="Q16" s="185" t="s">
        <v>80</v>
      </c>
      <c r="R16" s="185" t="s">
        <v>169</v>
      </c>
    </row>
    <row r="17" spans="1:18" ht="15" customHeight="1">
      <c r="A17" s="232"/>
      <c r="B17" s="233"/>
      <c r="C17" s="233"/>
      <c r="D17" s="202" t="s">
        <v>210</v>
      </c>
      <c r="E17" s="197" t="s">
        <v>211</v>
      </c>
      <c r="F17" s="185">
        <v>2</v>
      </c>
      <c r="G17" s="185">
        <v>3</v>
      </c>
      <c r="H17" s="185">
        <v>2</v>
      </c>
      <c r="I17" s="185" t="s">
        <v>165</v>
      </c>
      <c r="J17" s="200" t="s">
        <v>212</v>
      </c>
      <c r="K17" s="188" t="s">
        <v>167</v>
      </c>
      <c r="L17" s="188">
        <v>0</v>
      </c>
      <c r="M17" s="188">
        <v>1</v>
      </c>
      <c r="N17" s="188">
        <v>1</v>
      </c>
      <c r="O17" s="188">
        <v>0</v>
      </c>
      <c r="P17" s="188" t="s">
        <v>168</v>
      </c>
      <c r="Q17" s="185" t="s">
        <v>80</v>
      </c>
      <c r="R17" s="185" t="s">
        <v>169</v>
      </c>
    </row>
    <row r="18" spans="1:18" ht="15" customHeight="1">
      <c r="A18" s="232"/>
      <c r="B18" s="233"/>
      <c r="C18" s="233"/>
      <c r="D18" s="202" t="s">
        <v>213</v>
      </c>
      <c r="E18" s="197" t="s">
        <v>214</v>
      </c>
      <c r="F18" s="185">
        <v>2</v>
      </c>
      <c r="G18" s="185">
        <v>5</v>
      </c>
      <c r="H18" s="185">
        <v>2</v>
      </c>
      <c r="I18" s="185" t="s">
        <v>165</v>
      </c>
      <c r="J18" s="200" t="s">
        <v>215</v>
      </c>
      <c r="K18" s="188" t="s">
        <v>167</v>
      </c>
      <c r="L18" s="188">
        <v>0</v>
      </c>
      <c r="M18" s="188">
        <v>3</v>
      </c>
      <c r="N18" s="188">
        <v>1</v>
      </c>
      <c r="O18" s="188">
        <v>0</v>
      </c>
      <c r="P18" s="188" t="s">
        <v>168</v>
      </c>
      <c r="Q18" s="185" t="s">
        <v>80</v>
      </c>
      <c r="R18" s="185" t="s">
        <v>169</v>
      </c>
    </row>
    <row r="19" spans="1:18" ht="15" customHeight="1">
      <c r="A19" s="232"/>
      <c r="B19" s="233"/>
      <c r="C19" s="233"/>
      <c r="D19" s="202" t="s">
        <v>216</v>
      </c>
      <c r="E19" s="197" t="s">
        <v>217</v>
      </c>
      <c r="F19" s="185">
        <v>3</v>
      </c>
      <c r="G19" s="185">
        <v>0</v>
      </c>
      <c r="H19" s="185">
        <v>8</v>
      </c>
      <c r="I19" s="185" t="s">
        <v>218</v>
      </c>
      <c r="J19" s="200" t="s">
        <v>193</v>
      </c>
      <c r="K19" s="188" t="s">
        <v>219</v>
      </c>
      <c r="L19" s="188">
        <v>-40</v>
      </c>
      <c r="M19" s="188">
        <v>85</v>
      </c>
      <c r="N19" s="188">
        <v>0.5</v>
      </c>
      <c r="O19" s="188">
        <v>-40</v>
      </c>
      <c r="P19" s="188" t="s">
        <v>220</v>
      </c>
      <c r="Q19" s="185" t="s">
        <v>80</v>
      </c>
      <c r="R19" s="185" t="s">
        <v>169</v>
      </c>
    </row>
    <row r="20" spans="1:18" ht="15" customHeight="1">
      <c r="A20" s="232"/>
      <c r="B20" s="233"/>
      <c r="C20" s="233"/>
      <c r="D20" s="202" t="s">
        <v>221</v>
      </c>
      <c r="E20" s="198" t="s">
        <v>222</v>
      </c>
      <c r="F20" s="185">
        <v>4</v>
      </c>
      <c r="G20" s="185">
        <v>0</v>
      </c>
      <c r="H20" s="185">
        <v>4</v>
      </c>
      <c r="I20" s="185" t="s">
        <v>76</v>
      </c>
      <c r="J20" s="198" t="s">
        <v>223</v>
      </c>
      <c r="K20" s="185"/>
      <c r="L20" s="185">
        <v>0</v>
      </c>
      <c r="M20" s="185">
        <v>15</v>
      </c>
      <c r="N20" s="185">
        <v>1</v>
      </c>
      <c r="O20" s="185">
        <v>0</v>
      </c>
      <c r="P20" s="185" t="s">
        <v>168</v>
      </c>
      <c r="Q20" s="185" t="s">
        <v>80</v>
      </c>
      <c r="R20" s="185" t="s">
        <v>169</v>
      </c>
    </row>
    <row r="21" spans="1:18" ht="15" customHeight="1">
      <c r="A21" s="232"/>
      <c r="B21" s="233"/>
      <c r="C21" s="233"/>
      <c r="D21" s="204" t="s">
        <v>224</v>
      </c>
      <c r="E21" s="205" t="s">
        <v>225</v>
      </c>
      <c r="F21" s="206">
        <v>4</v>
      </c>
      <c r="G21" s="206">
        <v>4</v>
      </c>
      <c r="H21" s="206">
        <v>1</v>
      </c>
      <c r="I21" s="206" t="s">
        <v>76</v>
      </c>
      <c r="J21" s="199" t="s">
        <v>226</v>
      </c>
      <c r="K21" s="206">
        <v>0</v>
      </c>
      <c r="L21" s="206">
        <v>1</v>
      </c>
      <c r="M21" s="206">
        <v>1</v>
      </c>
      <c r="N21" s="206">
        <v>0</v>
      </c>
      <c r="O21" s="206">
        <v>0</v>
      </c>
      <c r="P21" s="206">
        <v>0</v>
      </c>
      <c r="Q21" s="206" t="s">
        <v>80</v>
      </c>
      <c r="R21" s="161" t="s">
        <v>169</v>
      </c>
    </row>
    <row r="22" spans="1:18" ht="15" customHeight="1">
      <c r="A22" s="232"/>
      <c r="B22" s="233"/>
      <c r="C22" s="233"/>
      <c r="D22" s="204" t="s">
        <v>227</v>
      </c>
      <c r="E22" s="205" t="s">
        <v>228</v>
      </c>
      <c r="F22" s="206">
        <v>4</v>
      </c>
      <c r="G22" s="206">
        <v>5</v>
      </c>
      <c r="H22" s="206">
        <v>1</v>
      </c>
      <c r="I22" s="206" t="s">
        <v>76</v>
      </c>
      <c r="J22" s="199" t="s">
        <v>229</v>
      </c>
      <c r="K22" s="206">
        <v>0</v>
      </c>
      <c r="L22" s="206">
        <v>1</v>
      </c>
      <c r="M22" s="206">
        <v>1</v>
      </c>
      <c r="N22" s="206">
        <v>0</v>
      </c>
      <c r="O22" s="206">
        <v>0</v>
      </c>
      <c r="P22" s="206">
        <v>0</v>
      </c>
      <c r="Q22" s="206" t="s">
        <v>80</v>
      </c>
      <c r="R22" s="161" t="s">
        <v>169</v>
      </c>
    </row>
    <row r="23" spans="1:18" s="162" customFormat="1" ht="15" customHeight="1">
      <c r="A23" s="161" t="s">
        <v>122</v>
      </c>
      <c r="B23" s="161" t="s">
        <v>123</v>
      </c>
      <c r="C23" s="161">
        <v>8</v>
      </c>
      <c r="D23" s="153" t="s">
        <v>230</v>
      </c>
      <c r="E23" s="163"/>
      <c r="F23" s="161">
        <v>1</v>
      </c>
      <c r="G23" s="161">
        <v>0</v>
      </c>
      <c r="H23" s="161">
        <v>1</v>
      </c>
      <c r="I23" s="161" t="s">
        <v>76</v>
      </c>
      <c r="J23" s="164" t="s">
        <v>231</v>
      </c>
      <c r="K23" s="161">
        <v>0</v>
      </c>
      <c r="L23" s="161">
        <v>1</v>
      </c>
      <c r="M23" s="161">
        <v>1</v>
      </c>
      <c r="N23" s="161">
        <v>0</v>
      </c>
      <c r="O23" s="161">
        <v>0</v>
      </c>
      <c r="P23" s="161"/>
      <c r="Q23" s="161" t="s">
        <v>80</v>
      </c>
      <c r="R23" s="161" t="s">
        <v>169</v>
      </c>
    </row>
  </sheetData>
  <autoFilter ref="A1:R23" xr:uid="{E4637E95-037E-426F-BC6F-519A61AA68B6}"/>
  <mergeCells count="6">
    <mergeCell ref="A15:A22"/>
    <mergeCell ref="B15:B22"/>
    <mergeCell ref="C15:C22"/>
    <mergeCell ref="A2:A14"/>
    <mergeCell ref="B2:B14"/>
    <mergeCell ref="C2:C1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1B544-EF09-460B-AC3D-69480B3D6A6A}">
  <sheetPr codeName="Sheet5"/>
  <dimension ref="A1:V37"/>
  <sheetViews>
    <sheetView showGridLines="0" zoomScale="80" zoomScaleNormal="80" workbookViewId="0">
      <pane ySplit="1" topLeftCell="A26" activePane="bottomLeft" state="frozen"/>
      <selection activeCell="C8" sqref="C8"/>
      <selection pane="bottomLeft" activeCell="A38" sqref="A38"/>
    </sheetView>
  </sheetViews>
  <sheetFormatPr defaultRowHeight="14.4"/>
  <cols>
    <col min="1" max="1" width="22.109375" customWidth="1"/>
    <col min="2" max="2" width="31" customWidth="1"/>
    <col min="3" max="3" width="24.109375" customWidth="1"/>
    <col min="4" max="4" width="34.6640625" customWidth="1"/>
    <col min="5" max="5" width="56.6640625" customWidth="1"/>
    <col min="6" max="6" width="12.6640625" customWidth="1"/>
    <col min="7" max="7" width="9" customWidth="1"/>
    <col min="8" max="8" width="9.109375" customWidth="1"/>
    <col min="9" max="9" width="12.6640625" customWidth="1"/>
    <col min="10" max="10" width="25" customWidth="1"/>
    <col min="11" max="11" width="11.5546875" customWidth="1"/>
    <col min="12" max="12" width="11" customWidth="1"/>
    <col min="13" max="13" width="15.5546875" customWidth="1"/>
    <col min="14" max="14" width="12" customWidth="1"/>
    <col min="15" max="16" width="19.88671875" customWidth="1"/>
    <col min="18" max="18" width="14.33203125" customWidth="1"/>
    <col min="19" max="19" width="16" customWidth="1"/>
    <col min="20" max="20" width="16.109375" customWidth="1"/>
    <col min="21" max="21" width="17.44140625" customWidth="1"/>
  </cols>
  <sheetData>
    <row r="1" spans="1:21" ht="12.75" customHeight="1">
      <c r="A1" s="91" t="s">
        <v>48</v>
      </c>
      <c r="B1" s="91" t="s">
        <v>49</v>
      </c>
      <c r="C1" s="91" t="s">
        <v>50</v>
      </c>
      <c r="D1" s="91" t="s">
        <v>51</v>
      </c>
      <c r="E1" s="91" t="s">
        <v>52</v>
      </c>
      <c r="F1" s="91" t="s">
        <v>53</v>
      </c>
      <c r="G1" s="91" t="s">
        <v>54</v>
      </c>
      <c r="H1" s="91" t="s">
        <v>55</v>
      </c>
      <c r="I1" s="91" t="s">
        <v>56</v>
      </c>
      <c r="J1" s="91" t="s">
        <v>232</v>
      </c>
      <c r="K1" s="91" t="s">
        <v>58</v>
      </c>
      <c r="L1" s="91" t="s">
        <v>59</v>
      </c>
      <c r="M1" s="91" t="s">
        <v>60</v>
      </c>
      <c r="N1" s="91" t="s">
        <v>61</v>
      </c>
      <c r="O1" s="91" t="s">
        <v>62</v>
      </c>
      <c r="P1" s="91" t="s">
        <v>63</v>
      </c>
      <c r="Q1" s="91" t="s">
        <v>233</v>
      </c>
      <c r="R1" s="123" t="s">
        <v>234</v>
      </c>
      <c r="S1" s="91" t="s">
        <v>66</v>
      </c>
      <c r="T1" s="91" t="s">
        <v>67</v>
      </c>
      <c r="U1" s="90" t="s">
        <v>68</v>
      </c>
    </row>
    <row r="2" spans="1:21" ht="15" thickBot="1">
      <c r="A2" s="239" t="s">
        <v>235</v>
      </c>
      <c r="B2" s="239" t="s">
        <v>236</v>
      </c>
      <c r="C2" s="239">
        <v>8</v>
      </c>
      <c r="D2" s="77" t="s">
        <v>237</v>
      </c>
      <c r="E2" s="18" t="s">
        <v>238</v>
      </c>
      <c r="F2" s="1">
        <v>0</v>
      </c>
      <c r="G2" s="1">
        <v>0</v>
      </c>
      <c r="H2" s="2">
        <v>14</v>
      </c>
      <c r="I2" s="1" t="s">
        <v>113</v>
      </c>
      <c r="J2" s="6" t="s">
        <v>239</v>
      </c>
      <c r="K2" s="76" t="s">
        <v>240</v>
      </c>
      <c r="L2" s="76" t="s">
        <v>241</v>
      </c>
      <c r="M2" s="47">
        <v>1E-3</v>
      </c>
      <c r="N2" s="47">
        <v>3</v>
      </c>
      <c r="O2" s="47" t="s">
        <v>242</v>
      </c>
      <c r="P2" s="47" t="s">
        <v>78</v>
      </c>
      <c r="Q2" s="18" t="s">
        <v>243</v>
      </c>
      <c r="R2" s="18" t="s">
        <v>244</v>
      </c>
      <c r="S2" s="18" t="s">
        <v>243</v>
      </c>
      <c r="T2" s="18" t="s">
        <v>245</v>
      </c>
      <c r="U2" s="18" t="s">
        <v>80</v>
      </c>
    </row>
    <row r="3" spans="1:21" ht="55.8" thickBot="1">
      <c r="A3" s="240"/>
      <c r="B3" s="240"/>
      <c r="C3" s="240"/>
      <c r="D3" s="77" t="s">
        <v>246</v>
      </c>
      <c r="E3" s="18" t="s">
        <v>247</v>
      </c>
      <c r="F3" s="1">
        <v>1</v>
      </c>
      <c r="G3" s="1">
        <v>6</v>
      </c>
      <c r="H3" s="47">
        <v>2</v>
      </c>
      <c r="I3" s="1" t="s">
        <v>76</v>
      </c>
      <c r="J3" s="6" t="s">
        <v>248</v>
      </c>
      <c r="K3" s="92" t="s">
        <v>249</v>
      </c>
      <c r="L3" s="92" t="s">
        <v>240</v>
      </c>
      <c r="M3" s="93">
        <v>1</v>
      </c>
      <c r="N3" s="93">
        <v>0</v>
      </c>
      <c r="O3" s="47" t="s">
        <v>78</v>
      </c>
      <c r="P3" s="47" t="s">
        <v>78</v>
      </c>
      <c r="Q3" s="18" t="s">
        <v>250</v>
      </c>
      <c r="R3" s="18"/>
      <c r="S3" s="18" t="s">
        <v>250</v>
      </c>
      <c r="T3" s="18" t="s">
        <v>245</v>
      </c>
      <c r="U3" s="18" t="s">
        <v>80</v>
      </c>
    </row>
    <row r="4" spans="1:21" ht="12.75" customHeight="1">
      <c r="A4" s="240"/>
      <c r="B4" s="240"/>
      <c r="C4" s="240"/>
      <c r="D4" s="77" t="s">
        <v>251</v>
      </c>
      <c r="E4" s="18" t="s">
        <v>252</v>
      </c>
      <c r="F4" s="1">
        <v>2</v>
      </c>
      <c r="G4" s="1">
        <v>0</v>
      </c>
      <c r="H4" s="47">
        <v>16</v>
      </c>
      <c r="I4" s="1" t="s">
        <v>113</v>
      </c>
      <c r="J4" s="6" t="s">
        <v>239</v>
      </c>
      <c r="K4" s="4">
        <v>0</v>
      </c>
      <c r="L4" s="4">
        <v>65535</v>
      </c>
      <c r="M4" s="47">
        <v>1</v>
      </c>
      <c r="N4" s="47">
        <v>0</v>
      </c>
      <c r="O4" s="47"/>
      <c r="P4" s="47" t="s">
        <v>78</v>
      </c>
      <c r="Q4" s="18" t="s">
        <v>253</v>
      </c>
      <c r="R4" s="18"/>
      <c r="S4" s="18" t="s">
        <v>253</v>
      </c>
      <c r="T4" s="18" t="s">
        <v>245</v>
      </c>
      <c r="U4" s="18" t="s">
        <v>80</v>
      </c>
    </row>
    <row r="5" spans="1:21" ht="12.75" customHeight="1">
      <c r="A5" s="240"/>
      <c r="B5" s="240"/>
      <c r="C5" s="240"/>
      <c r="D5" s="77" t="s">
        <v>254</v>
      </c>
      <c r="E5" s="18" t="s">
        <v>255</v>
      </c>
      <c r="F5" s="1">
        <v>4</v>
      </c>
      <c r="G5" s="15">
        <v>0</v>
      </c>
      <c r="H5" s="47">
        <v>8</v>
      </c>
      <c r="I5" s="1" t="s">
        <v>113</v>
      </c>
      <c r="J5" s="6" t="s">
        <v>239</v>
      </c>
      <c r="K5" s="76" t="s">
        <v>256</v>
      </c>
      <c r="L5" s="76" t="s">
        <v>257</v>
      </c>
      <c r="M5" s="47">
        <v>1</v>
      </c>
      <c r="N5" s="47">
        <v>-40</v>
      </c>
      <c r="O5" s="47" t="s">
        <v>258</v>
      </c>
      <c r="P5" s="47" t="s">
        <v>78</v>
      </c>
      <c r="Q5" s="18" t="s">
        <v>194</v>
      </c>
      <c r="R5" s="18" t="s">
        <v>259</v>
      </c>
      <c r="S5" s="18" t="s">
        <v>194</v>
      </c>
      <c r="T5" s="18" t="s">
        <v>245</v>
      </c>
      <c r="U5" s="18" t="s">
        <v>80</v>
      </c>
    </row>
    <row r="6" spans="1:21" ht="12.75" customHeight="1">
      <c r="A6" s="240"/>
      <c r="B6" s="240"/>
      <c r="C6" s="240"/>
      <c r="D6" s="77" t="s">
        <v>260</v>
      </c>
      <c r="E6" s="45" t="s">
        <v>261</v>
      </c>
      <c r="F6" s="15">
        <v>5</v>
      </c>
      <c r="G6" s="15">
        <v>0</v>
      </c>
      <c r="H6" s="50">
        <v>3</v>
      </c>
      <c r="I6" s="1" t="s">
        <v>76</v>
      </c>
      <c r="J6" s="6" t="s">
        <v>262</v>
      </c>
      <c r="K6" s="94" t="s">
        <v>249</v>
      </c>
      <c r="L6" s="94" t="s">
        <v>263</v>
      </c>
      <c r="M6" s="95">
        <v>1</v>
      </c>
      <c r="N6" s="95">
        <v>0</v>
      </c>
      <c r="O6" s="47" t="s">
        <v>78</v>
      </c>
      <c r="P6" s="47" t="s">
        <v>78</v>
      </c>
      <c r="Q6" s="45" t="s">
        <v>264</v>
      </c>
      <c r="R6" s="45"/>
      <c r="S6" s="45" t="s">
        <v>264</v>
      </c>
      <c r="T6" s="18" t="s">
        <v>245</v>
      </c>
      <c r="U6" s="18" t="s">
        <v>80</v>
      </c>
    </row>
    <row r="7" spans="1:21" ht="12.75" customHeight="1">
      <c r="A7" s="240"/>
      <c r="B7" s="240"/>
      <c r="C7" s="240"/>
      <c r="D7" s="77" t="s">
        <v>265</v>
      </c>
      <c r="E7" s="18" t="s">
        <v>266</v>
      </c>
      <c r="F7" s="15">
        <v>5</v>
      </c>
      <c r="G7" s="15">
        <v>3</v>
      </c>
      <c r="H7" s="47">
        <v>2</v>
      </c>
      <c r="I7" s="1" t="s">
        <v>76</v>
      </c>
      <c r="J7" s="6" t="s">
        <v>267</v>
      </c>
      <c r="K7" s="92" t="s">
        <v>249</v>
      </c>
      <c r="L7" s="92" t="s">
        <v>240</v>
      </c>
      <c r="M7" s="93">
        <v>1</v>
      </c>
      <c r="N7" s="93">
        <v>0</v>
      </c>
      <c r="O7" s="47" t="s">
        <v>78</v>
      </c>
      <c r="P7" s="47" t="s">
        <v>78</v>
      </c>
      <c r="Q7" s="18" t="s">
        <v>250</v>
      </c>
      <c r="R7" s="18"/>
      <c r="S7" s="18" t="s">
        <v>250</v>
      </c>
      <c r="T7" s="18" t="s">
        <v>245</v>
      </c>
      <c r="U7" s="18" t="s">
        <v>80</v>
      </c>
    </row>
    <row r="8" spans="1:21" ht="12.75" customHeight="1">
      <c r="A8" s="240"/>
      <c r="B8" s="240"/>
      <c r="C8" s="240"/>
      <c r="D8" s="77" t="s">
        <v>268</v>
      </c>
      <c r="E8" s="18" t="s">
        <v>269</v>
      </c>
      <c r="F8" s="15">
        <v>6</v>
      </c>
      <c r="G8" s="15">
        <v>0</v>
      </c>
      <c r="H8" s="47">
        <v>4</v>
      </c>
      <c r="I8" s="1" t="s">
        <v>113</v>
      </c>
      <c r="J8" s="6" t="s">
        <v>239</v>
      </c>
      <c r="K8" s="76">
        <v>0</v>
      </c>
      <c r="L8" s="76" t="s">
        <v>270</v>
      </c>
      <c r="M8" s="47">
        <v>1</v>
      </c>
      <c r="N8" s="47">
        <v>1</v>
      </c>
      <c r="O8" s="47" t="s">
        <v>271</v>
      </c>
      <c r="P8" s="47" t="s">
        <v>78</v>
      </c>
      <c r="Q8" s="18" t="s">
        <v>272</v>
      </c>
      <c r="R8" s="18"/>
      <c r="S8" s="18" t="s">
        <v>272</v>
      </c>
      <c r="T8" s="18" t="s">
        <v>245</v>
      </c>
      <c r="U8" s="18" t="s">
        <v>80</v>
      </c>
    </row>
    <row r="9" spans="1:21" ht="12.75" customHeight="1">
      <c r="A9" s="240"/>
      <c r="B9" s="240"/>
      <c r="C9" s="240"/>
      <c r="D9" s="77" t="s">
        <v>273</v>
      </c>
      <c r="E9" s="45" t="s">
        <v>274</v>
      </c>
      <c r="F9" s="15">
        <v>7</v>
      </c>
      <c r="G9" s="15">
        <v>0</v>
      </c>
      <c r="H9" s="47">
        <v>4</v>
      </c>
      <c r="I9" s="1" t="s">
        <v>113</v>
      </c>
      <c r="J9" s="6" t="s">
        <v>239</v>
      </c>
      <c r="K9" s="76"/>
      <c r="L9" s="76"/>
      <c r="M9" s="47"/>
      <c r="N9" s="47"/>
      <c r="O9" s="47" t="s">
        <v>78</v>
      </c>
      <c r="P9" s="136" t="s">
        <v>275</v>
      </c>
      <c r="Q9" s="1"/>
      <c r="R9" s="18"/>
      <c r="S9" s="1"/>
      <c r="T9" s="18" t="s">
        <v>245</v>
      </c>
      <c r="U9" s="18" t="s">
        <v>80</v>
      </c>
    </row>
    <row r="10" spans="1:21" ht="12.75" customHeight="1" thickBot="1">
      <c r="A10" s="238"/>
      <c r="B10" s="238"/>
      <c r="C10" s="238"/>
      <c r="D10" s="89" t="s">
        <v>276</v>
      </c>
      <c r="E10" s="29" t="s">
        <v>277</v>
      </c>
      <c r="F10" s="21">
        <v>7</v>
      </c>
      <c r="G10" s="21">
        <v>4</v>
      </c>
      <c r="H10" s="44">
        <v>4</v>
      </c>
      <c r="I10" s="1" t="s">
        <v>113</v>
      </c>
      <c r="J10" s="88" t="s">
        <v>239</v>
      </c>
      <c r="K10" s="33"/>
      <c r="L10" s="33"/>
      <c r="M10" s="32"/>
      <c r="N10" s="47"/>
      <c r="O10" s="87" t="s">
        <v>78</v>
      </c>
      <c r="P10" s="47" t="s">
        <v>78</v>
      </c>
      <c r="Q10" s="14"/>
      <c r="R10" s="86"/>
      <c r="S10" s="14"/>
      <c r="T10" s="31" t="s">
        <v>245</v>
      </c>
      <c r="U10" s="31" t="s">
        <v>80</v>
      </c>
    </row>
    <row r="11" spans="1:21" ht="12.75" customHeight="1">
      <c r="A11" s="241" t="s">
        <v>278</v>
      </c>
      <c r="B11" s="244" t="s">
        <v>279</v>
      </c>
      <c r="C11" s="247">
        <v>8</v>
      </c>
      <c r="D11" s="41" t="s">
        <v>280</v>
      </c>
      <c r="E11" s="85" t="s">
        <v>281</v>
      </c>
      <c r="F11" s="17">
        <v>0</v>
      </c>
      <c r="G11" s="17">
        <v>0</v>
      </c>
      <c r="H11" s="39">
        <v>11</v>
      </c>
      <c r="I11" s="17" t="s">
        <v>113</v>
      </c>
      <c r="J11" s="27" t="s">
        <v>239</v>
      </c>
      <c r="K11" s="84">
        <v>0</v>
      </c>
      <c r="L11" s="84" t="s">
        <v>282</v>
      </c>
      <c r="M11" s="82">
        <v>0.01</v>
      </c>
      <c r="N11" s="83">
        <v>0</v>
      </c>
      <c r="O11" s="82" t="s">
        <v>242</v>
      </c>
      <c r="P11" s="47" t="s">
        <v>78</v>
      </c>
      <c r="Q11" s="18" t="s">
        <v>283</v>
      </c>
      <c r="R11" s="35" t="s">
        <v>284</v>
      </c>
      <c r="S11" s="18" t="s">
        <v>285</v>
      </c>
      <c r="T11" s="81" t="s">
        <v>245</v>
      </c>
      <c r="U11" s="35" t="s">
        <v>80</v>
      </c>
    </row>
    <row r="12" spans="1:21" ht="12.75" customHeight="1">
      <c r="A12" s="242"/>
      <c r="B12" s="245"/>
      <c r="C12" s="240"/>
      <c r="D12" s="77" t="s">
        <v>286</v>
      </c>
      <c r="E12" s="18" t="s">
        <v>287</v>
      </c>
      <c r="F12" s="1">
        <v>1</v>
      </c>
      <c r="G12" s="1">
        <v>3</v>
      </c>
      <c r="H12" s="47">
        <v>2</v>
      </c>
      <c r="I12" s="1" t="s">
        <v>76</v>
      </c>
      <c r="J12" s="3" t="s">
        <v>288</v>
      </c>
      <c r="K12" s="92" t="s">
        <v>249</v>
      </c>
      <c r="L12" s="92" t="s">
        <v>240</v>
      </c>
      <c r="M12" s="93">
        <v>1</v>
      </c>
      <c r="N12" s="96">
        <v>0</v>
      </c>
      <c r="O12" s="47" t="s">
        <v>78</v>
      </c>
      <c r="P12" s="47" t="s">
        <v>78</v>
      </c>
      <c r="Q12" s="45" t="s">
        <v>250</v>
      </c>
      <c r="R12" s="18"/>
      <c r="S12" s="45" t="s">
        <v>250</v>
      </c>
      <c r="T12" s="72" t="s">
        <v>245</v>
      </c>
      <c r="U12" s="18" t="s">
        <v>80</v>
      </c>
    </row>
    <row r="13" spans="1:21" ht="12.75" customHeight="1">
      <c r="A13" s="242"/>
      <c r="B13" s="245"/>
      <c r="C13" s="240"/>
      <c r="D13" s="77" t="s">
        <v>289</v>
      </c>
      <c r="E13" s="18" t="s">
        <v>290</v>
      </c>
      <c r="F13" s="1">
        <v>1</v>
      </c>
      <c r="G13" s="1">
        <v>5</v>
      </c>
      <c r="H13" s="47">
        <v>2</v>
      </c>
      <c r="I13" s="1" t="s">
        <v>76</v>
      </c>
      <c r="J13" s="3" t="s">
        <v>291</v>
      </c>
      <c r="K13" s="92" t="s">
        <v>249</v>
      </c>
      <c r="L13" s="92" t="s">
        <v>240</v>
      </c>
      <c r="M13" s="93">
        <v>1</v>
      </c>
      <c r="N13" s="97">
        <v>0</v>
      </c>
      <c r="O13" s="47" t="s">
        <v>78</v>
      </c>
      <c r="P13" s="47" t="s">
        <v>78</v>
      </c>
      <c r="Q13" s="45" t="s">
        <v>250</v>
      </c>
      <c r="R13" s="18"/>
      <c r="S13" s="45" t="s">
        <v>250</v>
      </c>
      <c r="T13" s="78" t="s">
        <v>245</v>
      </c>
      <c r="U13" s="18" t="s">
        <v>80</v>
      </c>
    </row>
    <row r="14" spans="1:21" ht="12.75" customHeight="1">
      <c r="A14" s="242"/>
      <c r="B14" s="245"/>
      <c r="C14" s="240"/>
      <c r="D14" s="77" t="s">
        <v>292</v>
      </c>
      <c r="E14" s="18" t="s">
        <v>293</v>
      </c>
      <c r="F14" s="1">
        <v>1</v>
      </c>
      <c r="G14" s="1">
        <v>7</v>
      </c>
      <c r="H14" s="47">
        <v>1</v>
      </c>
      <c r="I14" s="1" t="s">
        <v>113</v>
      </c>
      <c r="J14" s="3" t="s">
        <v>239</v>
      </c>
      <c r="K14" s="92">
        <v>0</v>
      </c>
      <c r="L14" s="92">
        <v>1</v>
      </c>
      <c r="M14" s="93">
        <v>1</v>
      </c>
      <c r="N14" s="96">
        <v>0</v>
      </c>
      <c r="O14" s="47" t="s">
        <v>78</v>
      </c>
      <c r="P14" s="47" t="s">
        <v>78</v>
      </c>
      <c r="Q14" s="45" t="s">
        <v>294</v>
      </c>
      <c r="R14" s="18"/>
      <c r="S14" s="45" t="s">
        <v>294</v>
      </c>
      <c r="T14" s="78" t="s">
        <v>245</v>
      </c>
      <c r="U14" s="18" t="s">
        <v>80</v>
      </c>
    </row>
    <row r="15" spans="1:21" ht="12.75" customHeight="1">
      <c r="A15" s="242"/>
      <c r="B15" s="245"/>
      <c r="C15" s="240"/>
      <c r="D15" s="77" t="s">
        <v>295</v>
      </c>
      <c r="E15" s="18" t="s">
        <v>296</v>
      </c>
      <c r="F15" s="1">
        <v>2</v>
      </c>
      <c r="G15" s="1">
        <v>0</v>
      </c>
      <c r="H15" s="47">
        <v>10</v>
      </c>
      <c r="I15" s="1" t="s">
        <v>113</v>
      </c>
      <c r="J15" s="6" t="s">
        <v>239</v>
      </c>
      <c r="K15" s="92">
        <v>0</v>
      </c>
      <c r="L15" s="92" t="s">
        <v>297</v>
      </c>
      <c r="M15" s="93">
        <v>0.01</v>
      </c>
      <c r="N15" s="97">
        <v>0</v>
      </c>
      <c r="O15" s="47" t="s">
        <v>298</v>
      </c>
      <c r="P15" s="47" t="s">
        <v>78</v>
      </c>
      <c r="Q15" s="18" t="s">
        <v>299</v>
      </c>
      <c r="R15" s="18" t="s">
        <v>300</v>
      </c>
      <c r="S15" s="18" t="s">
        <v>301</v>
      </c>
      <c r="T15" s="78" t="s">
        <v>245</v>
      </c>
      <c r="U15" s="18" t="s">
        <v>80</v>
      </c>
    </row>
    <row r="16" spans="1:21" ht="12.75" customHeight="1">
      <c r="A16" s="242"/>
      <c r="B16" s="245"/>
      <c r="C16" s="240"/>
      <c r="D16" s="77" t="s">
        <v>302</v>
      </c>
      <c r="E16" s="18" t="s">
        <v>303</v>
      </c>
      <c r="F16" s="1">
        <v>3</v>
      </c>
      <c r="G16" s="1">
        <v>2</v>
      </c>
      <c r="H16" s="47">
        <v>10</v>
      </c>
      <c r="I16" s="1" t="s">
        <v>113</v>
      </c>
      <c r="J16" s="6" t="s">
        <v>239</v>
      </c>
      <c r="K16" s="92">
        <v>0</v>
      </c>
      <c r="L16" s="92" t="s">
        <v>304</v>
      </c>
      <c r="M16" s="93">
        <v>0.1</v>
      </c>
      <c r="N16" s="96">
        <v>0</v>
      </c>
      <c r="O16" s="47" t="s">
        <v>271</v>
      </c>
      <c r="P16" s="47" t="s">
        <v>78</v>
      </c>
      <c r="Q16" s="18" t="s">
        <v>299</v>
      </c>
      <c r="R16" s="18" t="s">
        <v>300</v>
      </c>
      <c r="S16" s="18" t="s">
        <v>301</v>
      </c>
      <c r="T16" s="72" t="s">
        <v>245</v>
      </c>
      <c r="U16" s="18" t="s">
        <v>80</v>
      </c>
    </row>
    <row r="17" spans="1:22" ht="12.75" customHeight="1">
      <c r="A17" s="242"/>
      <c r="B17" s="245"/>
      <c r="C17" s="240"/>
      <c r="D17" s="77" t="s">
        <v>305</v>
      </c>
      <c r="E17" s="45" t="s">
        <v>306</v>
      </c>
      <c r="F17" s="1">
        <v>4</v>
      </c>
      <c r="G17" s="1">
        <v>3</v>
      </c>
      <c r="H17" s="50">
        <v>3</v>
      </c>
      <c r="I17" s="1" t="s">
        <v>76</v>
      </c>
      <c r="J17" s="3" t="s">
        <v>307</v>
      </c>
      <c r="K17" s="94" t="s">
        <v>249</v>
      </c>
      <c r="L17" s="94" t="s">
        <v>263</v>
      </c>
      <c r="M17" s="95">
        <v>1</v>
      </c>
      <c r="N17" s="96">
        <v>0</v>
      </c>
      <c r="O17" s="47" t="s">
        <v>78</v>
      </c>
      <c r="P17" s="47" t="s">
        <v>78</v>
      </c>
      <c r="Q17" s="80" t="s">
        <v>264</v>
      </c>
      <c r="R17" s="45"/>
      <c r="S17" s="80" t="s">
        <v>264</v>
      </c>
      <c r="T17" s="72" t="s">
        <v>245</v>
      </c>
      <c r="U17" s="18" t="s">
        <v>80</v>
      </c>
    </row>
    <row r="18" spans="1:22" ht="12.75" customHeight="1">
      <c r="A18" s="242"/>
      <c r="B18" s="245"/>
      <c r="C18" s="240"/>
      <c r="D18" s="74" t="s">
        <v>308</v>
      </c>
      <c r="E18" s="61" t="s">
        <v>309</v>
      </c>
      <c r="F18" s="1">
        <v>4</v>
      </c>
      <c r="G18" s="1">
        <v>7</v>
      </c>
      <c r="H18" s="73">
        <v>8</v>
      </c>
      <c r="I18" s="1" t="s">
        <v>113</v>
      </c>
      <c r="J18" s="6" t="s">
        <v>239</v>
      </c>
      <c r="K18" s="98">
        <v>0</v>
      </c>
      <c r="L18" s="98" t="s">
        <v>310</v>
      </c>
      <c r="M18" s="99">
        <v>5.0000000000000001E-3</v>
      </c>
      <c r="N18" s="96">
        <v>0</v>
      </c>
      <c r="O18" s="73" t="s">
        <v>311</v>
      </c>
      <c r="P18" s="47" t="s">
        <v>78</v>
      </c>
      <c r="Q18" s="79" t="s">
        <v>312</v>
      </c>
      <c r="R18" s="61" t="s">
        <v>313</v>
      </c>
      <c r="S18" s="79" t="s">
        <v>194</v>
      </c>
      <c r="T18" s="78" t="s">
        <v>245</v>
      </c>
      <c r="U18" s="18" t="s">
        <v>80</v>
      </c>
    </row>
    <row r="19" spans="1:22" ht="12.75" customHeight="1">
      <c r="A19" s="242"/>
      <c r="B19" s="245"/>
      <c r="C19" s="240"/>
      <c r="D19" s="77" t="s">
        <v>314</v>
      </c>
      <c r="E19" s="18" t="s">
        <v>315</v>
      </c>
      <c r="F19" s="1">
        <v>6</v>
      </c>
      <c r="G19" s="1">
        <v>0</v>
      </c>
      <c r="H19" s="47">
        <v>7</v>
      </c>
      <c r="I19" s="1" t="s">
        <v>113</v>
      </c>
      <c r="J19" s="6" t="s">
        <v>239</v>
      </c>
      <c r="K19" s="92">
        <v>0</v>
      </c>
      <c r="L19" s="92">
        <v>100</v>
      </c>
      <c r="M19" s="93">
        <v>1</v>
      </c>
      <c r="N19" s="97">
        <v>0</v>
      </c>
      <c r="O19" s="75" t="s">
        <v>271</v>
      </c>
      <c r="P19" s="47" t="s">
        <v>78</v>
      </c>
      <c r="Q19" s="18" t="s">
        <v>316</v>
      </c>
      <c r="R19" s="18" t="s">
        <v>317</v>
      </c>
      <c r="S19" s="18" t="s">
        <v>316</v>
      </c>
      <c r="T19" s="72" t="s">
        <v>245</v>
      </c>
      <c r="U19" s="18" t="s">
        <v>80</v>
      </c>
    </row>
    <row r="20" spans="1:22" ht="12.75" customHeight="1">
      <c r="A20" s="242"/>
      <c r="B20" s="245"/>
      <c r="C20" s="240"/>
      <c r="D20" s="74" t="s">
        <v>318</v>
      </c>
      <c r="E20" s="61" t="s">
        <v>319</v>
      </c>
      <c r="F20" s="1">
        <v>8</v>
      </c>
      <c r="G20" s="1">
        <v>0</v>
      </c>
      <c r="H20" s="73">
        <v>3</v>
      </c>
      <c r="I20" s="1" t="s">
        <v>76</v>
      </c>
      <c r="J20" s="6" t="s">
        <v>320</v>
      </c>
      <c r="K20" s="98" t="s">
        <v>249</v>
      </c>
      <c r="L20" s="98" t="s">
        <v>263</v>
      </c>
      <c r="M20" s="99">
        <v>1</v>
      </c>
      <c r="N20" s="97">
        <v>0</v>
      </c>
      <c r="O20" s="47" t="s">
        <v>78</v>
      </c>
      <c r="P20" s="47" t="s">
        <v>78</v>
      </c>
      <c r="Q20" s="61" t="s">
        <v>264</v>
      </c>
      <c r="R20" s="61"/>
      <c r="S20" s="61" t="s">
        <v>264</v>
      </c>
      <c r="T20" s="72" t="s">
        <v>245</v>
      </c>
      <c r="U20" s="18" t="s">
        <v>80</v>
      </c>
    </row>
    <row r="21" spans="1:22" ht="12.75" customHeight="1" thickBot="1">
      <c r="A21" s="243"/>
      <c r="B21" s="246"/>
      <c r="C21" s="238"/>
      <c r="D21" s="71" t="s">
        <v>321</v>
      </c>
      <c r="E21" s="69" t="s">
        <v>322</v>
      </c>
      <c r="F21" s="14">
        <v>8</v>
      </c>
      <c r="G21" s="14">
        <v>3</v>
      </c>
      <c r="H21" s="70">
        <v>5</v>
      </c>
      <c r="I21" s="14" t="s">
        <v>76</v>
      </c>
      <c r="J21" s="20" t="s">
        <v>323</v>
      </c>
      <c r="K21" s="100" t="s">
        <v>249</v>
      </c>
      <c r="L21" s="101" t="s">
        <v>324</v>
      </c>
      <c r="M21" s="102">
        <v>1</v>
      </c>
      <c r="N21" s="103">
        <v>0</v>
      </c>
      <c r="O21" s="32" t="s">
        <v>78</v>
      </c>
      <c r="P21" s="47" t="s">
        <v>78</v>
      </c>
      <c r="Q21" s="61" t="s">
        <v>325</v>
      </c>
      <c r="R21" s="69"/>
      <c r="S21" s="69" t="s">
        <v>325</v>
      </c>
      <c r="T21" s="68" t="s">
        <v>245</v>
      </c>
      <c r="U21" s="31" t="s">
        <v>80</v>
      </c>
    </row>
    <row r="22" spans="1:22" ht="12.75" customHeight="1">
      <c r="A22" s="248" t="s">
        <v>326</v>
      </c>
      <c r="B22" s="247" t="s">
        <v>327</v>
      </c>
      <c r="C22" s="247">
        <v>8</v>
      </c>
      <c r="D22" s="67" t="s">
        <v>328</v>
      </c>
      <c r="E22" s="63" t="s">
        <v>329</v>
      </c>
      <c r="F22" s="17">
        <v>0</v>
      </c>
      <c r="G22" s="17">
        <v>0</v>
      </c>
      <c r="H22" s="39">
        <v>4</v>
      </c>
      <c r="I22" s="66" t="s">
        <v>113</v>
      </c>
      <c r="J22" s="38" t="s">
        <v>239</v>
      </c>
      <c r="K22" s="104"/>
      <c r="L22" s="104"/>
      <c r="M22" s="105"/>
      <c r="N22" s="106"/>
      <c r="O22" s="47" t="s">
        <v>78</v>
      </c>
      <c r="P22" s="136" t="s">
        <v>330</v>
      </c>
      <c r="Q22" s="17"/>
      <c r="R22" s="65"/>
      <c r="S22" s="64"/>
      <c r="T22" s="63" t="s">
        <v>245</v>
      </c>
      <c r="U22" s="35" t="s">
        <v>80</v>
      </c>
      <c r="V22" s="62"/>
    </row>
    <row r="23" spans="1:22" ht="15" thickBot="1">
      <c r="A23" s="249"/>
      <c r="B23" s="240"/>
      <c r="C23" s="240"/>
      <c r="D23" s="52" t="s">
        <v>331</v>
      </c>
      <c r="E23" s="45" t="s">
        <v>112</v>
      </c>
      <c r="F23" s="1">
        <v>0</v>
      </c>
      <c r="G23" s="1">
        <v>3</v>
      </c>
      <c r="H23" s="50">
        <v>4</v>
      </c>
      <c r="I23" s="56" t="s">
        <v>113</v>
      </c>
      <c r="J23" s="6" t="s">
        <v>239</v>
      </c>
      <c r="K23" s="107"/>
      <c r="L23" s="107"/>
      <c r="M23" s="108"/>
      <c r="N23" s="109"/>
      <c r="O23" s="47" t="s">
        <v>78</v>
      </c>
      <c r="P23" s="47" t="s">
        <v>78</v>
      </c>
      <c r="Q23" s="1"/>
      <c r="R23" s="61"/>
      <c r="S23" s="60"/>
      <c r="T23" s="45" t="s">
        <v>245</v>
      </c>
      <c r="U23" s="18" t="s">
        <v>80</v>
      </c>
      <c r="V23" s="58"/>
    </row>
    <row r="24" spans="1:22" ht="42" thickBot="1">
      <c r="A24" s="249"/>
      <c r="B24" s="240"/>
      <c r="C24" s="240"/>
      <c r="D24" s="52" t="s">
        <v>332</v>
      </c>
      <c r="E24" s="45" t="s">
        <v>333</v>
      </c>
      <c r="F24" s="1">
        <v>1</v>
      </c>
      <c r="G24" s="1">
        <v>0</v>
      </c>
      <c r="H24" s="50">
        <v>8</v>
      </c>
      <c r="I24" s="59" t="s">
        <v>113</v>
      </c>
      <c r="J24" s="6" t="s">
        <v>334</v>
      </c>
      <c r="K24" s="110" t="s">
        <v>335</v>
      </c>
      <c r="L24" s="110" t="s">
        <v>336</v>
      </c>
      <c r="M24" s="111">
        <v>0.1</v>
      </c>
      <c r="N24" s="111">
        <v>2</v>
      </c>
      <c r="O24" s="50" t="s">
        <v>298</v>
      </c>
      <c r="P24" s="47" t="s">
        <v>78</v>
      </c>
      <c r="Q24" s="45" t="s">
        <v>337</v>
      </c>
      <c r="R24" s="45" t="s">
        <v>338</v>
      </c>
      <c r="S24" s="45" t="s">
        <v>194</v>
      </c>
      <c r="T24" s="45" t="s">
        <v>245</v>
      </c>
      <c r="U24" s="18" t="s">
        <v>80</v>
      </c>
      <c r="V24" s="58"/>
    </row>
    <row r="25" spans="1:22" ht="17.25" customHeight="1">
      <c r="A25" s="249"/>
      <c r="B25" s="240"/>
      <c r="C25" s="240"/>
      <c r="D25" s="52" t="s">
        <v>339</v>
      </c>
      <c r="E25" s="18" t="s">
        <v>340</v>
      </c>
      <c r="F25" s="1">
        <v>2</v>
      </c>
      <c r="G25" s="1">
        <v>0</v>
      </c>
      <c r="H25" s="50">
        <v>10</v>
      </c>
      <c r="I25" s="56" t="s">
        <v>113</v>
      </c>
      <c r="J25" s="6" t="s">
        <v>239</v>
      </c>
      <c r="K25" s="94" t="s">
        <v>240</v>
      </c>
      <c r="L25" s="94" t="s">
        <v>282</v>
      </c>
      <c r="M25" s="95">
        <v>0.01</v>
      </c>
      <c r="N25" s="95">
        <v>3</v>
      </c>
      <c r="O25" s="50" t="s">
        <v>242</v>
      </c>
      <c r="P25" s="47" t="s">
        <v>78</v>
      </c>
      <c r="Q25" s="45" t="s">
        <v>299</v>
      </c>
      <c r="R25" s="45" t="s">
        <v>300</v>
      </c>
      <c r="S25" s="45" t="s">
        <v>301</v>
      </c>
      <c r="T25" s="45" t="s">
        <v>245</v>
      </c>
      <c r="U25" s="18" t="s">
        <v>80</v>
      </c>
      <c r="V25" s="55"/>
    </row>
    <row r="26" spans="1:22" ht="17.25" customHeight="1">
      <c r="A26" s="249"/>
      <c r="B26" s="240"/>
      <c r="C26" s="240"/>
      <c r="D26" s="52" t="s">
        <v>341</v>
      </c>
      <c r="E26" s="54" t="s">
        <v>342</v>
      </c>
      <c r="F26" s="1">
        <v>3</v>
      </c>
      <c r="G26" s="1">
        <v>2</v>
      </c>
      <c r="H26" s="50">
        <v>6</v>
      </c>
      <c r="I26" s="56" t="s">
        <v>113</v>
      </c>
      <c r="J26" s="6" t="s">
        <v>239</v>
      </c>
      <c r="K26" s="94" t="s">
        <v>343</v>
      </c>
      <c r="L26" s="94" t="s">
        <v>249</v>
      </c>
      <c r="M26" s="95">
        <v>2</v>
      </c>
      <c r="N26" s="95">
        <v>-120</v>
      </c>
      <c r="O26" s="50" t="s">
        <v>311</v>
      </c>
      <c r="P26" s="47" t="s">
        <v>78</v>
      </c>
      <c r="Q26" s="46" t="s">
        <v>344</v>
      </c>
      <c r="R26" s="46" t="s">
        <v>345</v>
      </c>
      <c r="S26" s="46" t="s">
        <v>346</v>
      </c>
      <c r="T26" s="45" t="s">
        <v>245</v>
      </c>
      <c r="U26" s="18" t="s">
        <v>80</v>
      </c>
      <c r="V26" s="55"/>
    </row>
    <row r="27" spans="1:22" ht="15" thickBot="1">
      <c r="A27" s="249"/>
      <c r="B27" s="240"/>
      <c r="C27" s="240"/>
      <c r="D27" s="52" t="s">
        <v>347</v>
      </c>
      <c r="E27" s="57"/>
      <c r="F27" s="1">
        <v>4</v>
      </c>
      <c r="G27" s="1">
        <v>0</v>
      </c>
      <c r="H27" s="50">
        <v>8</v>
      </c>
      <c r="I27" s="56" t="s">
        <v>113</v>
      </c>
      <c r="J27" s="6" t="s">
        <v>239</v>
      </c>
      <c r="K27" s="95">
        <v>8</v>
      </c>
      <c r="L27" s="95">
        <v>12</v>
      </c>
      <c r="M27" s="95">
        <v>0.02</v>
      </c>
      <c r="N27" s="95">
        <v>8</v>
      </c>
      <c r="O27" s="50" t="s">
        <v>242</v>
      </c>
      <c r="P27" s="47" t="s">
        <v>78</v>
      </c>
      <c r="Q27" s="46" t="s">
        <v>337</v>
      </c>
      <c r="R27" s="45" t="s">
        <v>348</v>
      </c>
      <c r="S27" s="46" t="s">
        <v>194</v>
      </c>
      <c r="T27" s="45" t="s">
        <v>245</v>
      </c>
      <c r="U27" s="18" t="s">
        <v>80</v>
      </c>
      <c r="V27" s="55"/>
    </row>
    <row r="28" spans="1:22" ht="15" thickBot="1">
      <c r="A28" s="249"/>
      <c r="B28" s="240"/>
      <c r="C28" s="240"/>
      <c r="D28" s="52" t="s">
        <v>349</v>
      </c>
      <c r="E28" s="54" t="s">
        <v>350</v>
      </c>
      <c r="F28" s="1">
        <v>5</v>
      </c>
      <c r="G28" s="1">
        <v>0</v>
      </c>
      <c r="H28" s="50">
        <v>6</v>
      </c>
      <c r="I28" s="24" t="s">
        <v>113</v>
      </c>
      <c r="J28" s="6" t="s">
        <v>239</v>
      </c>
      <c r="K28" s="94" t="s">
        <v>351</v>
      </c>
      <c r="L28" s="94" t="s">
        <v>352</v>
      </c>
      <c r="M28" s="95">
        <v>20</v>
      </c>
      <c r="N28" s="95">
        <v>-1500</v>
      </c>
      <c r="O28" s="50" t="s">
        <v>311</v>
      </c>
      <c r="P28" s="47" t="s">
        <v>78</v>
      </c>
      <c r="Q28" s="46" t="s">
        <v>344</v>
      </c>
      <c r="R28" s="45" t="s">
        <v>345</v>
      </c>
      <c r="S28" s="46" t="s">
        <v>346</v>
      </c>
      <c r="T28" s="45" t="s">
        <v>245</v>
      </c>
      <c r="U28" s="18" t="s">
        <v>80</v>
      </c>
    </row>
    <row r="29" spans="1:22" ht="55.8" thickBot="1">
      <c r="A29" s="249"/>
      <c r="B29" s="240"/>
      <c r="C29" s="240"/>
      <c r="D29" s="52" t="s">
        <v>353</v>
      </c>
      <c r="E29" s="18" t="s">
        <v>354</v>
      </c>
      <c r="F29" s="1">
        <v>5</v>
      </c>
      <c r="G29" s="1">
        <v>6</v>
      </c>
      <c r="H29" s="50">
        <v>2</v>
      </c>
      <c r="I29" s="1" t="s">
        <v>76</v>
      </c>
      <c r="J29" s="3" t="s">
        <v>355</v>
      </c>
      <c r="K29" s="94" t="s">
        <v>249</v>
      </c>
      <c r="L29" s="94" t="s">
        <v>240</v>
      </c>
      <c r="M29" s="95">
        <v>1</v>
      </c>
      <c r="N29" s="95">
        <v>0</v>
      </c>
      <c r="O29" s="47" t="s">
        <v>78</v>
      </c>
      <c r="P29" s="47" t="s">
        <v>78</v>
      </c>
      <c r="Q29" s="45" t="s">
        <v>356</v>
      </c>
      <c r="R29" s="45"/>
      <c r="S29" s="45" t="s">
        <v>250</v>
      </c>
      <c r="T29" s="45" t="s">
        <v>245</v>
      </c>
      <c r="U29" s="18" t="s">
        <v>80</v>
      </c>
    </row>
    <row r="30" spans="1:22" ht="15" thickBot="1">
      <c r="A30" s="249"/>
      <c r="B30" s="240"/>
      <c r="C30" s="240"/>
      <c r="D30" s="52" t="s">
        <v>357</v>
      </c>
      <c r="E30" s="18" t="s">
        <v>358</v>
      </c>
      <c r="F30" s="1">
        <v>6</v>
      </c>
      <c r="G30" s="1">
        <v>0</v>
      </c>
      <c r="H30" s="50">
        <v>7</v>
      </c>
      <c r="I30" s="1" t="s">
        <v>113</v>
      </c>
      <c r="J30" s="6" t="s">
        <v>239</v>
      </c>
      <c r="K30" s="94" t="s">
        <v>359</v>
      </c>
      <c r="L30" s="94" t="s">
        <v>360</v>
      </c>
      <c r="M30" s="95">
        <v>0.1</v>
      </c>
      <c r="N30" s="95">
        <v>5</v>
      </c>
      <c r="O30" s="50" t="s">
        <v>298</v>
      </c>
      <c r="P30" s="47" t="s">
        <v>78</v>
      </c>
      <c r="Q30" s="46" t="s">
        <v>361</v>
      </c>
      <c r="R30" s="53" t="s">
        <v>362</v>
      </c>
      <c r="S30" s="46" t="s">
        <v>316</v>
      </c>
      <c r="T30" s="45" t="s">
        <v>245</v>
      </c>
      <c r="U30" s="18" t="s">
        <v>80</v>
      </c>
    </row>
    <row r="31" spans="1:22" ht="15" thickBot="1">
      <c r="A31" s="249"/>
      <c r="B31" s="240"/>
      <c r="C31" s="240"/>
      <c r="D31" s="52" t="s">
        <v>363</v>
      </c>
      <c r="E31" s="18" t="s">
        <v>364</v>
      </c>
      <c r="F31" s="1">
        <v>6</v>
      </c>
      <c r="G31" s="1">
        <v>7</v>
      </c>
      <c r="H31" s="50">
        <v>5</v>
      </c>
      <c r="I31" s="1" t="s">
        <v>113</v>
      </c>
      <c r="J31" s="6" t="s">
        <v>239</v>
      </c>
      <c r="K31" s="94" t="s">
        <v>297</v>
      </c>
      <c r="L31" s="94" t="s">
        <v>365</v>
      </c>
      <c r="M31" s="95">
        <v>0.1</v>
      </c>
      <c r="N31" s="95">
        <v>10</v>
      </c>
      <c r="O31" s="50" t="s">
        <v>242</v>
      </c>
      <c r="P31" s="47" t="s">
        <v>78</v>
      </c>
      <c r="Q31" s="46" t="s">
        <v>366</v>
      </c>
      <c r="R31" s="45"/>
      <c r="S31" s="46" t="s">
        <v>72</v>
      </c>
      <c r="T31" s="45" t="s">
        <v>245</v>
      </c>
      <c r="U31" s="18" t="s">
        <v>80</v>
      </c>
    </row>
    <row r="32" spans="1:22" ht="55.8" thickBot="1">
      <c r="A32" s="249"/>
      <c r="B32" s="240"/>
      <c r="C32" s="240"/>
      <c r="D32" s="51" t="s">
        <v>367</v>
      </c>
      <c r="E32" s="45" t="s">
        <v>368</v>
      </c>
      <c r="F32" s="49">
        <v>7</v>
      </c>
      <c r="G32" s="49">
        <v>4</v>
      </c>
      <c r="H32" s="50">
        <v>2</v>
      </c>
      <c r="I32" s="49" t="s">
        <v>76</v>
      </c>
      <c r="J32" s="48" t="s">
        <v>369</v>
      </c>
      <c r="K32" s="94" t="s">
        <v>249</v>
      </c>
      <c r="L32" s="94" t="s">
        <v>240</v>
      </c>
      <c r="M32" s="95">
        <v>1</v>
      </c>
      <c r="N32" s="95">
        <v>0</v>
      </c>
      <c r="O32" s="47" t="s">
        <v>78</v>
      </c>
      <c r="P32" s="47" t="s">
        <v>78</v>
      </c>
      <c r="Q32" s="46" t="s">
        <v>250</v>
      </c>
      <c r="R32" s="45"/>
      <c r="S32" s="46" t="s">
        <v>250</v>
      </c>
      <c r="T32" s="45" t="s">
        <v>245</v>
      </c>
      <c r="U32" s="18" t="s">
        <v>80</v>
      </c>
    </row>
    <row r="33" spans="1:21" ht="55.2">
      <c r="A33" s="250"/>
      <c r="B33" s="238"/>
      <c r="C33" s="238"/>
      <c r="D33" s="22" t="s">
        <v>370</v>
      </c>
      <c r="E33" s="29" t="s">
        <v>371</v>
      </c>
      <c r="F33" s="14">
        <v>7</v>
      </c>
      <c r="G33" s="14">
        <v>6</v>
      </c>
      <c r="H33" s="44">
        <v>2</v>
      </c>
      <c r="I33" s="14" t="s">
        <v>76</v>
      </c>
      <c r="J33" s="43" t="s">
        <v>369</v>
      </c>
      <c r="K33" s="112" t="s">
        <v>249</v>
      </c>
      <c r="L33" s="112" t="s">
        <v>240</v>
      </c>
      <c r="M33" s="113">
        <v>1</v>
      </c>
      <c r="N33" s="113">
        <v>0</v>
      </c>
      <c r="O33" s="32" t="s">
        <v>78</v>
      </c>
      <c r="P33" s="32" t="s">
        <v>78</v>
      </c>
      <c r="Q33" s="42" t="s">
        <v>250</v>
      </c>
      <c r="R33" s="29"/>
      <c r="S33" s="42" t="s">
        <v>250</v>
      </c>
      <c r="T33" s="29" t="s">
        <v>245</v>
      </c>
      <c r="U33" s="31" t="s">
        <v>80</v>
      </c>
    </row>
    <row r="34" spans="1:21">
      <c r="A34" s="247" t="s">
        <v>372</v>
      </c>
      <c r="B34" s="247" t="s">
        <v>373</v>
      </c>
      <c r="C34" s="247">
        <v>2</v>
      </c>
      <c r="D34" s="41" t="s">
        <v>374</v>
      </c>
      <c r="E34" s="40" t="s">
        <v>375</v>
      </c>
      <c r="F34" s="17">
        <v>0</v>
      </c>
      <c r="G34" s="17">
        <v>0</v>
      </c>
      <c r="H34" s="39">
        <v>9</v>
      </c>
      <c r="I34" s="16" t="s">
        <v>113</v>
      </c>
      <c r="J34" s="38" t="s">
        <v>239</v>
      </c>
      <c r="K34" s="114" t="s">
        <v>376</v>
      </c>
      <c r="L34" s="115" t="s">
        <v>377</v>
      </c>
      <c r="M34" s="116">
        <v>0.2</v>
      </c>
      <c r="N34" s="116">
        <v>-50</v>
      </c>
      <c r="O34" s="37" t="s">
        <v>378</v>
      </c>
      <c r="P34" s="82" t="s">
        <v>78</v>
      </c>
      <c r="Q34" s="36" t="s">
        <v>379</v>
      </c>
      <c r="R34" s="35" t="s">
        <v>380</v>
      </c>
      <c r="S34" s="17" t="s">
        <v>381</v>
      </c>
      <c r="T34" s="34" t="s">
        <v>245</v>
      </c>
      <c r="U34" s="35" t="s">
        <v>80</v>
      </c>
    </row>
    <row r="35" spans="1:21">
      <c r="A35" s="251"/>
      <c r="B35" s="251"/>
      <c r="C35" s="251"/>
      <c r="D35" s="175" t="s">
        <v>382</v>
      </c>
      <c r="E35" s="31" t="s">
        <v>383</v>
      </c>
      <c r="F35" s="14">
        <v>1</v>
      </c>
      <c r="G35" s="14">
        <v>1</v>
      </c>
      <c r="H35" s="32">
        <v>7</v>
      </c>
      <c r="I35" s="21" t="s">
        <v>113</v>
      </c>
      <c r="J35" s="20" t="s">
        <v>239</v>
      </c>
      <c r="K35" s="117">
        <v>0</v>
      </c>
      <c r="L35" s="117" t="s">
        <v>297</v>
      </c>
      <c r="M35" s="118">
        <v>0.1</v>
      </c>
      <c r="N35" s="118">
        <v>0</v>
      </c>
      <c r="O35" s="32" t="s">
        <v>298</v>
      </c>
      <c r="P35" s="32" t="s">
        <v>78</v>
      </c>
      <c r="Q35" s="31" t="s">
        <v>361</v>
      </c>
      <c r="R35" s="30" t="s">
        <v>384</v>
      </c>
      <c r="S35" s="14" t="s">
        <v>316</v>
      </c>
      <c r="T35" s="29" t="s">
        <v>245</v>
      </c>
      <c r="U35" s="31" t="s">
        <v>80</v>
      </c>
    </row>
    <row r="36" spans="1:21" ht="27.6">
      <c r="A36" s="237" t="s">
        <v>385</v>
      </c>
      <c r="B36" s="237" t="s">
        <v>386</v>
      </c>
      <c r="C36" s="237">
        <v>2</v>
      </c>
      <c r="D36" s="176" t="s">
        <v>387</v>
      </c>
      <c r="E36" s="148"/>
      <c r="F36" s="24">
        <v>0</v>
      </c>
      <c r="G36" s="24">
        <v>0</v>
      </c>
      <c r="H36" s="26">
        <v>1</v>
      </c>
      <c r="I36" s="28" t="s">
        <v>76</v>
      </c>
      <c r="J36" s="27" t="s">
        <v>388</v>
      </c>
      <c r="K36" s="119" t="s">
        <v>249</v>
      </c>
      <c r="L36" s="119" t="s">
        <v>310</v>
      </c>
      <c r="M36" s="120">
        <v>1</v>
      </c>
      <c r="N36" s="120">
        <v>0</v>
      </c>
      <c r="O36" s="26"/>
      <c r="P36" s="82" t="s">
        <v>78</v>
      </c>
      <c r="Q36" s="25">
        <v>0</v>
      </c>
      <c r="R36" s="25"/>
      <c r="S36" s="24"/>
      <c r="T36" s="23" t="s">
        <v>245</v>
      </c>
      <c r="U36" s="35" t="s">
        <v>80</v>
      </c>
    </row>
    <row r="37" spans="1:21" ht="15" thickBot="1">
      <c r="A37" s="238"/>
      <c r="B37" s="238"/>
      <c r="C37" s="238"/>
      <c r="D37" s="149" t="s">
        <v>389</v>
      </c>
      <c r="E37" s="12"/>
      <c r="F37" s="14">
        <v>1</v>
      </c>
      <c r="G37" s="14">
        <v>0</v>
      </c>
      <c r="H37" s="13">
        <v>4</v>
      </c>
      <c r="I37" s="21" t="s">
        <v>113</v>
      </c>
      <c r="J37" s="20"/>
      <c r="K37" s="121" t="s">
        <v>249</v>
      </c>
      <c r="L37" s="121" t="s">
        <v>270</v>
      </c>
      <c r="M37" s="122">
        <v>1</v>
      </c>
      <c r="N37" s="122">
        <v>0</v>
      </c>
      <c r="O37" s="13" t="s">
        <v>390</v>
      </c>
      <c r="P37" s="47" t="s">
        <v>78</v>
      </c>
      <c r="Q37" s="12">
        <v>0</v>
      </c>
      <c r="R37" s="12"/>
      <c r="S37" s="14"/>
      <c r="T37" s="19" t="s">
        <v>245</v>
      </c>
      <c r="U37" s="31" t="s">
        <v>80</v>
      </c>
    </row>
  </sheetData>
  <autoFilter ref="A1:Q37" xr:uid="{F5C7E362-769A-4E99-98BF-5DB992D7C11E}"/>
  <mergeCells count="15">
    <mergeCell ref="B36:B37"/>
    <mergeCell ref="A36:A37"/>
    <mergeCell ref="C36:C37"/>
    <mergeCell ref="A2:A10"/>
    <mergeCell ref="B2:B10"/>
    <mergeCell ref="C2:C10"/>
    <mergeCell ref="A11:A21"/>
    <mergeCell ref="B11:B21"/>
    <mergeCell ref="C11:C21"/>
    <mergeCell ref="A22:A33"/>
    <mergeCell ref="B22:B33"/>
    <mergeCell ref="C22:C33"/>
    <mergeCell ref="A34:A35"/>
    <mergeCell ref="B34:B35"/>
    <mergeCell ref="C34:C35"/>
  </mergeCells>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7D0BA-224E-4422-B633-9AADFC976AED}">
  <dimension ref="A1:T25"/>
  <sheetViews>
    <sheetView showGridLines="0" zoomScale="80" zoomScaleNormal="80" workbookViewId="0">
      <selection activeCell="A25" sqref="A25"/>
    </sheetView>
  </sheetViews>
  <sheetFormatPr defaultRowHeight="15" customHeight="1"/>
  <cols>
    <col min="2" max="2" width="20.88671875" customWidth="1"/>
    <col min="3" max="3" width="13.88671875" customWidth="1"/>
    <col min="4" max="4" width="30.33203125" customWidth="1"/>
    <col min="5" max="5" width="27.5546875" customWidth="1"/>
    <col min="6" max="6" width="7" customWidth="1"/>
    <col min="7" max="8" width="5.88671875" customWidth="1"/>
    <col min="10" max="10" width="27.88671875" customWidth="1"/>
    <col min="17" max="17" width="9.109375" style="136"/>
  </cols>
  <sheetData>
    <row r="1" spans="1:20" ht="15" customHeight="1">
      <c r="A1" s="91" t="s">
        <v>48</v>
      </c>
      <c r="B1" s="91" t="s">
        <v>49</v>
      </c>
      <c r="C1" s="124" t="s">
        <v>50</v>
      </c>
      <c r="D1" s="125" t="s">
        <v>51</v>
      </c>
      <c r="E1" s="91" t="s">
        <v>52</v>
      </c>
      <c r="F1" s="91" t="s">
        <v>53</v>
      </c>
      <c r="G1" s="91" t="s">
        <v>54</v>
      </c>
      <c r="H1" s="91" t="s">
        <v>55</v>
      </c>
      <c r="I1" s="91" t="s">
        <v>56</v>
      </c>
      <c r="J1" s="91" t="s">
        <v>157</v>
      </c>
      <c r="K1" s="91" t="s">
        <v>58</v>
      </c>
      <c r="L1" s="91" t="s">
        <v>59</v>
      </c>
      <c r="M1" s="91" t="s">
        <v>60</v>
      </c>
      <c r="N1" s="91" t="s">
        <v>61</v>
      </c>
      <c r="O1" s="91" t="s">
        <v>62</v>
      </c>
      <c r="P1" s="91" t="s">
        <v>391</v>
      </c>
      <c r="Q1" s="134" t="s">
        <v>392</v>
      </c>
      <c r="R1" s="91" t="s">
        <v>66</v>
      </c>
      <c r="S1" s="91" t="s">
        <v>67</v>
      </c>
      <c r="T1" s="90" t="s">
        <v>68</v>
      </c>
    </row>
    <row r="2" spans="1:20" s="5" customFormat="1" ht="15" customHeight="1">
      <c r="A2" s="252" t="s">
        <v>393</v>
      </c>
      <c r="B2" s="254" t="s">
        <v>394</v>
      </c>
      <c r="C2" s="254">
        <v>4</v>
      </c>
      <c r="D2" s="126" t="s">
        <v>395</v>
      </c>
      <c r="E2" s="127" t="s">
        <v>396</v>
      </c>
      <c r="F2" s="5">
        <v>1</v>
      </c>
      <c r="G2" s="5">
        <v>0</v>
      </c>
      <c r="H2" s="5">
        <v>2</v>
      </c>
      <c r="I2" s="5" t="s">
        <v>76</v>
      </c>
      <c r="J2" s="128" t="s">
        <v>397</v>
      </c>
      <c r="K2" s="5">
        <v>0</v>
      </c>
      <c r="L2" s="5">
        <v>3</v>
      </c>
      <c r="M2" s="5">
        <v>1</v>
      </c>
      <c r="N2" s="5">
        <v>0</v>
      </c>
      <c r="P2" s="5" t="s">
        <v>398</v>
      </c>
      <c r="Q2" s="135"/>
      <c r="S2" s="5" t="s">
        <v>399</v>
      </c>
      <c r="T2" s="5" t="s">
        <v>80</v>
      </c>
    </row>
    <row r="3" spans="1:20" s="5" customFormat="1" ht="15" customHeight="1">
      <c r="A3" s="253"/>
      <c r="B3" s="255"/>
      <c r="C3" s="255"/>
      <c r="D3" s="126" t="s">
        <v>400</v>
      </c>
      <c r="E3" s="129" t="s">
        <v>401</v>
      </c>
      <c r="F3" s="5">
        <v>2</v>
      </c>
      <c r="G3" s="5">
        <v>0</v>
      </c>
      <c r="H3" s="5">
        <v>1</v>
      </c>
      <c r="I3" s="5" t="s">
        <v>76</v>
      </c>
      <c r="J3" s="128" t="s">
        <v>402</v>
      </c>
      <c r="K3" s="5">
        <v>0</v>
      </c>
      <c r="L3" s="5">
        <v>1</v>
      </c>
      <c r="M3" s="5">
        <v>1</v>
      </c>
      <c r="N3" s="5">
        <v>0</v>
      </c>
      <c r="P3" s="130">
        <v>0</v>
      </c>
      <c r="Q3" s="135"/>
      <c r="S3" s="5" t="s">
        <v>399</v>
      </c>
      <c r="T3" s="5" t="s">
        <v>80</v>
      </c>
    </row>
    <row r="4" spans="1:20" s="5" customFormat="1" ht="15" customHeight="1">
      <c r="A4" s="256" t="s">
        <v>403</v>
      </c>
      <c r="B4" s="256" t="s">
        <v>404</v>
      </c>
      <c r="C4" s="256">
        <v>8</v>
      </c>
      <c r="D4" s="5" t="s">
        <v>405</v>
      </c>
      <c r="E4" s="129" t="s">
        <v>406</v>
      </c>
      <c r="F4" s="5">
        <v>1</v>
      </c>
      <c r="G4" s="5">
        <v>6</v>
      </c>
      <c r="H4" s="5">
        <v>1</v>
      </c>
      <c r="I4" s="5" t="s">
        <v>76</v>
      </c>
      <c r="J4" s="128" t="s">
        <v>407</v>
      </c>
      <c r="K4" s="5">
        <v>0</v>
      </c>
      <c r="L4" s="5">
        <v>1</v>
      </c>
      <c r="M4" s="5">
        <v>1</v>
      </c>
      <c r="N4" s="5">
        <v>0</v>
      </c>
      <c r="Q4" s="135">
        <v>0</v>
      </c>
      <c r="S4" s="5" t="s">
        <v>80</v>
      </c>
      <c r="T4" s="5" t="s">
        <v>399</v>
      </c>
    </row>
    <row r="5" spans="1:20" s="5" customFormat="1" ht="15" customHeight="1">
      <c r="A5" s="257"/>
      <c r="B5" s="257"/>
      <c r="C5" s="257"/>
      <c r="D5" s="126" t="s">
        <v>408</v>
      </c>
      <c r="E5" s="131" t="s">
        <v>409</v>
      </c>
      <c r="F5" s="5">
        <v>7</v>
      </c>
      <c r="G5" s="5">
        <v>0</v>
      </c>
      <c r="H5" s="5">
        <v>1</v>
      </c>
      <c r="I5" s="5" t="s">
        <v>76</v>
      </c>
      <c r="J5" s="128" t="s">
        <v>410</v>
      </c>
      <c r="K5" s="5">
        <v>0</v>
      </c>
      <c r="L5" s="5">
        <v>1</v>
      </c>
      <c r="M5" s="5">
        <v>1</v>
      </c>
      <c r="N5" s="5">
        <v>0</v>
      </c>
      <c r="Q5" s="135">
        <v>0</v>
      </c>
      <c r="S5" s="5" t="s">
        <v>80</v>
      </c>
      <c r="T5" s="5" t="s">
        <v>399</v>
      </c>
    </row>
    <row r="6" spans="1:20" s="5" customFormat="1" ht="15" customHeight="1">
      <c r="A6" s="257"/>
      <c r="B6" s="257"/>
      <c r="C6" s="257"/>
      <c r="D6" s="126" t="s">
        <v>411</v>
      </c>
      <c r="E6" s="131" t="s">
        <v>412</v>
      </c>
      <c r="F6" s="5">
        <v>6</v>
      </c>
      <c r="G6" s="5">
        <v>0</v>
      </c>
      <c r="H6" s="5">
        <v>1</v>
      </c>
      <c r="I6" s="5" t="s">
        <v>76</v>
      </c>
      <c r="J6" s="128" t="s">
        <v>413</v>
      </c>
      <c r="K6" s="5">
        <v>0</v>
      </c>
      <c r="L6" s="5">
        <v>1</v>
      </c>
      <c r="M6" s="5">
        <v>1</v>
      </c>
      <c r="N6" s="5">
        <v>0</v>
      </c>
      <c r="Q6" s="135">
        <v>1</v>
      </c>
      <c r="S6" s="5" t="s">
        <v>80</v>
      </c>
      <c r="T6" s="5" t="s">
        <v>399</v>
      </c>
    </row>
    <row r="7" spans="1:20" s="5" customFormat="1" ht="15" customHeight="1">
      <c r="A7" s="257"/>
      <c r="B7" s="257"/>
      <c r="C7" s="257"/>
      <c r="D7" s="5" t="s">
        <v>414</v>
      </c>
      <c r="E7" s="131" t="s">
        <v>415</v>
      </c>
      <c r="F7" s="5">
        <v>1</v>
      </c>
      <c r="G7" s="5">
        <v>0</v>
      </c>
      <c r="H7" s="5">
        <v>1</v>
      </c>
      <c r="I7" s="5" t="s">
        <v>76</v>
      </c>
      <c r="J7" s="128" t="s">
        <v>416</v>
      </c>
      <c r="K7" s="5">
        <v>0</v>
      </c>
      <c r="L7" s="5">
        <v>1</v>
      </c>
      <c r="M7" s="5">
        <v>1</v>
      </c>
      <c r="N7" s="5">
        <v>0</v>
      </c>
      <c r="Q7" s="135">
        <v>0</v>
      </c>
      <c r="S7" s="5" t="s">
        <v>80</v>
      </c>
      <c r="T7" s="5" t="s">
        <v>399</v>
      </c>
    </row>
    <row r="8" spans="1:20" s="5" customFormat="1" ht="15" customHeight="1">
      <c r="A8" s="257"/>
      <c r="B8" s="257"/>
      <c r="C8" s="257"/>
      <c r="D8" s="126" t="s">
        <v>417</v>
      </c>
      <c r="E8" s="131" t="s">
        <v>418</v>
      </c>
      <c r="F8" s="5">
        <v>1</v>
      </c>
      <c r="G8" s="5">
        <v>1</v>
      </c>
      <c r="H8" s="5">
        <v>1</v>
      </c>
      <c r="I8" s="5" t="s">
        <v>76</v>
      </c>
      <c r="J8" s="128" t="s">
        <v>419</v>
      </c>
      <c r="K8" s="5">
        <v>0</v>
      </c>
      <c r="L8" s="5">
        <v>1</v>
      </c>
      <c r="M8" s="5">
        <v>1</v>
      </c>
      <c r="N8" s="5">
        <v>0</v>
      </c>
      <c r="Q8" s="135">
        <v>0</v>
      </c>
      <c r="S8" s="5" t="s">
        <v>80</v>
      </c>
      <c r="T8" s="5" t="s">
        <v>399</v>
      </c>
    </row>
    <row r="9" spans="1:20" s="5" customFormat="1" ht="15" customHeight="1">
      <c r="A9" s="257"/>
      <c r="B9" s="257"/>
      <c r="C9" s="257"/>
      <c r="D9" s="126" t="s">
        <v>420</v>
      </c>
      <c r="E9" s="131" t="s">
        <v>421</v>
      </c>
      <c r="F9" s="5">
        <v>1</v>
      </c>
      <c r="G9" s="5">
        <v>4</v>
      </c>
      <c r="H9" s="5">
        <v>1</v>
      </c>
      <c r="I9" s="5" t="s">
        <v>76</v>
      </c>
      <c r="J9" s="128" t="s">
        <v>416</v>
      </c>
      <c r="K9" s="5">
        <v>0</v>
      </c>
      <c r="L9" s="5">
        <v>1</v>
      </c>
      <c r="M9" s="5">
        <v>1</v>
      </c>
      <c r="N9" s="5">
        <v>0</v>
      </c>
      <c r="Q9" s="135">
        <v>0</v>
      </c>
      <c r="S9" s="5" t="s">
        <v>80</v>
      </c>
      <c r="T9" s="5" t="s">
        <v>399</v>
      </c>
    </row>
    <row r="10" spans="1:20" s="5" customFormat="1" ht="15" customHeight="1">
      <c r="A10" s="257"/>
      <c r="B10" s="257"/>
      <c r="C10" s="257"/>
      <c r="D10" s="132" t="s">
        <v>422</v>
      </c>
      <c r="E10" s="131" t="s">
        <v>423</v>
      </c>
      <c r="F10" s="5">
        <v>1</v>
      </c>
      <c r="G10" s="5">
        <v>5</v>
      </c>
      <c r="H10" s="5">
        <v>1</v>
      </c>
      <c r="I10" s="5" t="s">
        <v>76</v>
      </c>
      <c r="J10" s="128" t="s">
        <v>419</v>
      </c>
      <c r="K10" s="5">
        <v>0</v>
      </c>
      <c r="L10" s="5">
        <v>1</v>
      </c>
      <c r="M10" s="5">
        <v>1</v>
      </c>
      <c r="N10" s="5">
        <v>0</v>
      </c>
      <c r="Q10" s="135">
        <v>0</v>
      </c>
      <c r="S10" s="5" t="s">
        <v>80</v>
      </c>
      <c r="T10" s="5" t="s">
        <v>399</v>
      </c>
    </row>
    <row r="11" spans="1:20" s="5" customFormat="1" ht="15" customHeight="1">
      <c r="A11" s="257"/>
      <c r="B11" s="257"/>
      <c r="C11" s="257"/>
      <c r="D11" s="126" t="s">
        <v>424</v>
      </c>
      <c r="E11" s="131" t="s">
        <v>425</v>
      </c>
      <c r="F11" s="5">
        <v>0</v>
      </c>
      <c r="G11" s="5">
        <v>4</v>
      </c>
      <c r="H11" s="5">
        <v>1</v>
      </c>
      <c r="I11" s="5" t="s">
        <v>76</v>
      </c>
      <c r="J11" s="128" t="s">
        <v>416</v>
      </c>
      <c r="K11" s="5">
        <v>0</v>
      </c>
      <c r="L11" s="5">
        <v>1</v>
      </c>
      <c r="M11" s="5">
        <v>1</v>
      </c>
      <c r="N11" s="5">
        <v>0</v>
      </c>
      <c r="Q11" s="135">
        <v>0</v>
      </c>
      <c r="S11" s="5" t="s">
        <v>80</v>
      </c>
      <c r="T11" s="5" t="s">
        <v>399</v>
      </c>
    </row>
    <row r="12" spans="1:20" s="5" customFormat="1" ht="15" customHeight="1">
      <c r="A12" s="257"/>
      <c r="B12" s="257"/>
      <c r="C12" s="257"/>
      <c r="D12" s="126" t="s">
        <v>426</v>
      </c>
      <c r="E12" s="131" t="s">
        <v>427</v>
      </c>
      <c r="F12" s="5">
        <v>0</v>
      </c>
      <c r="G12" s="5">
        <v>5</v>
      </c>
      <c r="H12" s="5">
        <v>1</v>
      </c>
      <c r="I12" s="5" t="s">
        <v>76</v>
      </c>
      <c r="J12" s="128" t="s">
        <v>419</v>
      </c>
      <c r="K12" s="5">
        <v>0</v>
      </c>
      <c r="L12" s="5">
        <v>1</v>
      </c>
      <c r="M12" s="5">
        <v>1</v>
      </c>
      <c r="N12" s="5">
        <v>0</v>
      </c>
      <c r="Q12" s="135">
        <v>0</v>
      </c>
      <c r="S12" s="5" t="s">
        <v>80</v>
      </c>
      <c r="T12" s="5" t="s">
        <v>399</v>
      </c>
    </row>
    <row r="13" spans="1:20" s="5" customFormat="1" ht="15" customHeight="1">
      <c r="A13" s="257"/>
      <c r="B13" s="257"/>
      <c r="C13" s="257"/>
      <c r="D13" s="126" t="s">
        <v>428</v>
      </c>
      <c r="E13" s="131" t="s">
        <v>429</v>
      </c>
      <c r="F13" s="5">
        <v>1</v>
      </c>
      <c r="G13" s="5">
        <v>2</v>
      </c>
      <c r="H13" s="5">
        <v>1</v>
      </c>
      <c r="I13" s="5" t="s">
        <v>76</v>
      </c>
      <c r="J13" s="128" t="s">
        <v>416</v>
      </c>
      <c r="K13" s="5">
        <v>0</v>
      </c>
      <c r="L13" s="5">
        <v>1</v>
      </c>
      <c r="M13" s="5">
        <v>1</v>
      </c>
      <c r="N13" s="5">
        <v>0</v>
      </c>
      <c r="Q13" s="135">
        <v>0</v>
      </c>
      <c r="S13" s="5" t="s">
        <v>80</v>
      </c>
      <c r="T13" s="5" t="s">
        <v>399</v>
      </c>
    </row>
    <row r="14" spans="1:20" s="5" customFormat="1" ht="15" customHeight="1">
      <c r="A14" s="257"/>
      <c r="B14" s="257"/>
      <c r="C14" s="257"/>
      <c r="D14" s="132" t="s">
        <v>430</v>
      </c>
      <c r="E14" s="131" t="s">
        <v>431</v>
      </c>
      <c r="F14" s="5">
        <v>1</v>
      </c>
      <c r="G14" s="5">
        <v>3</v>
      </c>
      <c r="H14" s="5">
        <v>1</v>
      </c>
      <c r="I14" s="5" t="s">
        <v>76</v>
      </c>
      <c r="J14" s="128" t="s">
        <v>419</v>
      </c>
      <c r="K14" s="5">
        <v>0</v>
      </c>
      <c r="L14" s="5">
        <v>1</v>
      </c>
      <c r="M14" s="5">
        <v>1</v>
      </c>
      <c r="N14" s="5">
        <v>0</v>
      </c>
      <c r="Q14" s="135">
        <v>0</v>
      </c>
      <c r="S14" s="5" t="s">
        <v>80</v>
      </c>
      <c r="T14" s="5" t="s">
        <v>399</v>
      </c>
    </row>
    <row r="15" spans="1:20" s="5" customFormat="1" ht="15" customHeight="1">
      <c r="A15" s="257"/>
      <c r="B15" s="257"/>
      <c r="C15" s="257"/>
      <c r="D15" s="126" t="s">
        <v>432</v>
      </c>
      <c r="E15" s="131" t="s">
        <v>433</v>
      </c>
      <c r="F15" s="5">
        <v>0</v>
      </c>
      <c r="G15" s="5">
        <v>6</v>
      </c>
      <c r="H15" s="5">
        <v>1</v>
      </c>
      <c r="I15" s="5" t="s">
        <v>76</v>
      </c>
      <c r="J15" s="128" t="s">
        <v>416</v>
      </c>
      <c r="K15" s="5">
        <v>0</v>
      </c>
      <c r="L15" s="5">
        <v>1</v>
      </c>
      <c r="M15" s="5">
        <v>1</v>
      </c>
      <c r="N15" s="5">
        <v>0</v>
      </c>
      <c r="Q15" s="135">
        <v>0</v>
      </c>
      <c r="S15" s="5" t="s">
        <v>80</v>
      </c>
      <c r="T15" s="5" t="s">
        <v>399</v>
      </c>
    </row>
    <row r="16" spans="1:20" s="5" customFormat="1" ht="15" customHeight="1">
      <c r="A16" s="257"/>
      <c r="B16" s="257"/>
      <c r="C16" s="257"/>
      <c r="D16" s="126" t="s">
        <v>434</v>
      </c>
      <c r="E16" s="131" t="s">
        <v>435</v>
      </c>
      <c r="F16" s="5">
        <v>0</v>
      </c>
      <c r="G16" s="5">
        <v>7</v>
      </c>
      <c r="H16" s="5">
        <v>1</v>
      </c>
      <c r="I16" s="5" t="s">
        <v>76</v>
      </c>
      <c r="J16" s="128" t="s">
        <v>419</v>
      </c>
      <c r="K16" s="5">
        <v>0</v>
      </c>
      <c r="L16" s="5">
        <v>1</v>
      </c>
      <c r="M16" s="5">
        <v>1</v>
      </c>
      <c r="N16" s="5">
        <v>0</v>
      </c>
      <c r="Q16" s="135">
        <v>0</v>
      </c>
      <c r="S16" s="5" t="s">
        <v>80</v>
      </c>
      <c r="T16" s="5" t="s">
        <v>399</v>
      </c>
    </row>
    <row r="17" spans="1:20" s="5" customFormat="1" ht="15" customHeight="1">
      <c r="A17" s="257"/>
      <c r="B17" s="257"/>
      <c r="C17" s="257"/>
      <c r="D17" s="132" t="s">
        <v>436</v>
      </c>
      <c r="E17" s="131" t="s">
        <v>437</v>
      </c>
      <c r="F17" s="5">
        <v>6</v>
      </c>
      <c r="G17" s="5">
        <v>4</v>
      </c>
      <c r="H17" s="5">
        <v>1</v>
      </c>
      <c r="I17" s="5" t="s">
        <v>76</v>
      </c>
      <c r="J17" s="128" t="s">
        <v>416</v>
      </c>
      <c r="K17" s="5">
        <v>0</v>
      </c>
      <c r="L17" s="5">
        <v>1</v>
      </c>
      <c r="M17" s="5">
        <v>1</v>
      </c>
      <c r="N17" s="5">
        <v>0</v>
      </c>
      <c r="Q17" s="135">
        <v>0</v>
      </c>
      <c r="S17" s="5" t="s">
        <v>80</v>
      </c>
      <c r="T17" s="5" t="s">
        <v>399</v>
      </c>
    </row>
    <row r="18" spans="1:20" s="5" customFormat="1" ht="15" customHeight="1">
      <c r="A18" s="257"/>
      <c r="B18" s="257"/>
      <c r="C18" s="257"/>
      <c r="D18" s="126" t="s">
        <v>438</v>
      </c>
      <c r="E18" s="131" t="s">
        <v>439</v>
      </c>
      <c r="F18" s="5">
        <v>6</v>
      </c>
      <c r="G18" s="5">
        <v>5</v>
      </c>
      <c r="H18" s="5">
        <v>1</v>
      </c>
      <c r="I18" s="5" t="s">
        <v>76</v>
      </c>
      <c r="J18" s="128" t="s">
        <v>419</v>
      </c>
      <c r="K18" s="5">
        <v>0</v>
      </c>
      <c r="L18" s="5">
        <v>1</v>
      </c>
      <c r="M18" s="5">
        <v>1</v>
      </c>
      <c r="N18" s="5">
        <v>0</v>
      </c>
      <c r="Q18" s="135">
        <v>0</v>
      </c>
      <c r="S18" s="5" t="s">
        <v>80</v>
      </c>
      <c r="T18" s="5" t="s">
        <v>399</v>
      </c>
    </row>
    <row r="19" spans="1:20" s="5" customFormat="1" ht="15" customHeight="1">
      <c r="A19" s="257"/>
      <c r="B19" s="257"/>
      <c r="C19" s="257"/>
      <c r="D19" s="126" t="s">
        <v>440</v>
      </c>
      <c r="E19" s="131" t="s">
        <v>441</v>
      </c>
      <c r="F19" s="5">
        <v>0</v>
      </c>
      <c r="G19" s="5">
        <v>0</v>
      </c>
      <c r="H19" s="5">
        <v>1</v>
      </c>
      <c r="I19" s="5" t="s">
        <v>76</v>
      </c>
      <c r="J19" s="128" t="s">
        <v>416</v>
      </c>
      <c r="K19" s="5">
        <v>0</v>
      </c>
      <c r="L19" s="5">
        <v>1</v>
      </c>
      <c r="M19" s="5">
        <v>1</v>
      </c>
      <c r="N19" s="5">
        <v>0</v>
      </c>
      <c r="Q19" s="135">
        <v>0</v>
      </c>
      <c r="S19" s="5" t="s">
        <v>80</v>
      </c>
      <c r="T19" s="5" t="s">
        <v>399</v>
      </c>
    </row>
    <row r="20" spans="1:20" s="5" customFormat="1" ht="15" customHeight="1">
      <c r="A20" s="257"/>
      <c r="B20" s="257"/>
      <c r="C20" s="257"/>
      <c r="D20" s="126" t="s">
        <v>442</v>
      </c>
      <c r="E20" s="131" t="s">
        <v>443</v>
      </c>
      <c r="F20" s="5">
        <v>0</v>
      </c>
      <c r="G20" s="5">
        <v>1</v>
      </c>
      <c r="H20" s="5">
        <v>1</v>
      </c>
      <c r="I20" s="5" t="s">
        <v>76</v>
      </c>
      <c r="J20" s="128" t="s">
        <v>419</v>
      </c>
      <c r="K20" s="5">
        <v>0</v>
      </c>
      <c r="L20" s="5">
        <v>1</v>
      </c>
      <c r="M20" s="5">
        <v>1</v>
      </c>
      <c r="N20" s="5">
        <v>0</v>
      </c>
      <c r="Q20" s="135">
        <v>0</v>
      </c>
      <c r="S20" s="5" t="s">
        <v>80</v>
      </c>
      <c r="T20" s="5" t="s">
        <v>399</v>
      </c>
    </row>
    <row r="21" spans="1:20" s="5" customFormat="1" ht="15" customHeight="1">
      <c r="A21" s="257"/>
      <c r="B21" s="257"/>
      <c r="C21" s="257"/>
      <c r="D21" s="126" t="s">
        <v>444</v>
      </c>
      <c r="E21" s="131" t="s">
        <v>445</v>
      </c>
      <c r="F21" s="5">
        <v>0</v>
      </c>
      <c r="G21" s="5">
        <v>2</v>
      </c>
      <c r="H21" s="5">
        <v>1</v>
      </c>
      <c r="I21" s="5" t="s">
        <v>76</v>
      </c>
      <c r="J21" s="128" t="s">
        <v>416</v>
      </c>
      <c r="K21" s="5">
        <v>0</v>
      </c>
      <c r="L21" s="5">
        <v>1</v>
      </c>
      <c r="M21" s="5">
        <v>1</v>
      </c>
      <c r="N21" s="5">
        <v>0</v>
      </c>
      <c r="Q21" s="135">
        <v>0</v>
      </c>
      <c r="S21" s="5" t="s">
        <v>80</v>
      </c>
      <c r="T21" s="5" t="s">
        <v>399</v>
      </c>
    </row>
    <row r="22" spans="1:20" s="5" customFormat="1" ht="15" customHeight="1">
      <c r="A22" s="257"/>
      <c r="B22" s="257"/>
      <c r="C22" s="257"/>
      <c r="D22" s="126" t="s">
        <v>446</v>
      </c>
      <c r="E22" s="131" t="s">
        <v>447</v>
      </c>
      <c r="F22" s="5">
        <v>0</v>
      </c>
      <c r="G22" s="5">
        <v>3</v>
      </c>
      <c r="H22" s="5">
        <v>1</v>
      </c>
      <c r="I22" s="5" t="s">
        <v>76</v>
      </c>
      <c r="J22" s="128" t="s">
        <v>419</v>
      </c>
      <c r="K22" s="5">
        <v>0</v>
      </c>
      <c r="L22" s="5">
        <v>1</v>
      </c>
      <c r="M22" s="5">
        <v>1</v>
      </c>
      <c r="N22" s="5">
        <v>0</v>
      </c>
      <c r="Q22" s="135">
        <v>0</v>
      </c>
      <c r="S22" s="5" t="s">
        <v>80</v>
      </c>
      <c r="T22" s="5" t="s">
        <v>399</v>
      </c>
    </row>
    <row r="23" spans="1:20" s="5" customFormat="1" ht="15" customHeight="1">
      <c r="A23" s="257"/>
      <c r="B23" s="257"/>
      <c r="C23" s="257"/>
      <c r="D23" s="126" t="s">
        <v>448</v>
      </c>
      <c r="E23" s="5" t="s">
        <v>449</v>
      </c>
      <c r="F23" s="5">
        <v>7</v>
      </c>
      <c r="G23" s="5">
        <v>6</v>
      </c>
      <c r="H23" s="5">
        <v>1</v>
      </c>
      <c r="I23" s="5" t="s">
        <v>76</v>
      </c>
      <c r="J23" s="128" t="s">
        <v>450</v>
      </c>
      <c r="K23" s="5">
        <v>0</v>
      </c>
      <c r="L23" s="5">
        <v>1</v>
      </c>
      <c r="M23" s="5">
        <v>1</v>
      </c>
      <c r="N23" s="5">
        <v>0</v>
      </c>
      <c r="Q23" s="135">
        <v>0</v>
      </c>
      <c r="S23" s="5" t="s">
        <v>80</v>
      </c>
      <c r="T23" s="5" t="s">
        <v>399</v>
      </c>
    </row>
    <row r="24" spans="1:20" s="5" customFormat="1" ht="15" customHeight="1">
      <c r="A24" s="258"/>
      <c r="B24" s="258"/>
      <c r="C24" s="258"/>
      <c r="D24" s="126" t="s">
        <v>451</v>
      </c>
      <c r="E24" s="129" t="s">
        <v>452</v>
      </c>
      <c r="F24" s="5">
        <v>6</v>
      </c>
      <c r="G24" s="5">
        <v>2</v>
      </c>
      <c r="H24" s="5">
        <v>2</v>
      </c>
      <c r="I24" s="5" t="s">
        <v>76</v>
      </c>
      <c r="J24" s="128" t="s">
        <v>453</v>
      </c>
      <c r="K24" s="5">
        <v>0</v>
      </c>
      <c r="L24" s="5">
        <v>3</v>
      </c>
      <c r="M24" s="5">
        <v>1</v>
      </c>
      <c r="N24" s="5">
        <f>O24</f>
        <v>0</v>
      </c>
      <c r="Q24" s="135" t="s">
        <v>294</v>
      </c>
      <c r="S24" s="5" t="s">
        <v>80</v>
      </c>
      <c r="T24" s="5" t="s">
        <v>399</v>
      </c>
    </row>
    <row r="25" spans="1:20" ht="15" customHeight="1">
      <c r="B25" s="133"/>
      <c r="C25" s="133"/>
    </row>
  </sheetData>
  <autoFilter ref="A1:T24" xr:uid="{C217D0BA-224E-4422-B633-9AADFC976AED}"/>
  <mergeCells count="6">
    <mergeCell ref="A2:A3"/>
    <mergeCell ref="B2:B3"/>
    <mergeCell ref="C2:C3"/>
    <mergeCell ref="A4:A24"/>
    <mergeCell ref="B4:B24"/>
    <mergeCell ref="C4:C2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8EC5-CFF9-4C81-B31F-51D4D2231EDE}">
  <dimension ref="A2:C15"/>
  <sheetViews>
    <sheetView showGridLines="0" workbookViewId="0">
      <selection activeCell="A16" sqref="A16"/>
    </sheetView>
  </sheetViews>
  <sheetFormatPr defaultRowHeight="14.4"/>
  <cols>
    <col min="1" max="1" width="15.109375" customWidth="1"/>
    <col min="2" max="2" width="36.109375" customWidth="1"/>
  </cols>
  <sheetData>
    <row r="2" spans="1:3">
      <c r="A2" s="145" t="s">
        <v>454</v>
      </c>
    </row>
    <row r="4" spans="1:3">
      <c r="A4" s="147" t="s">
        <v>169</v>
      </c>
      <c r="B4" s="147" t="s">
        <v>455</v>
      </c>
    </row>
    <row r="5" spans="1:3">
      <c r="A5" s="5" t="s">
        <v>168</v>
      </c>
      <c r="B5" s="5" t="s">
        <v>456</v>
      </c>
    </row>
    <row r="8" spans="1:3">
      <c r="A8" s="146" t="s">
        <v>457</v>
      </c>
    </row>
    <row r="9" spans="1:3">
      <c r="A9" s="147" t="s">
        <v>169</v>
      </c>
      <c r="B9" s="147" t="s">
        <v>455</v>
      </c>
    </row>
    <row r="10" spans="1:3">
      <c r="A10" s="5" t="s">
        <v>311</v>
      </c>
      <c r="B10" s="5" t="s">
        <v>458</v>
      </c>
    </row>
    <row r="13" spans="1:3" ht="15" customHeight="1">
      <c r="A13" s="259" t="s">
        <v>459</v>
      </c>
      <c r="B13" s="259"/>
      <c r="C13" s="259"/>
    </row>
    <row r="14" spans="1:3">
      <c r="A14" s="259"/>
      <c r="B14" s="259"/>
      <c r="C14" s="259"/>
    </row>
    <row r="15" spans="1:3">
      <c r="A15" s="259"/>
      <c r="B15" s="259"/>
      <c r="C15" s="259"/>
    </row>
  </sheetData>
  <mergeCells count="1">
    <mergeCell ref="A13:C1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FF446-905F-4779-95D8-E7C4F3539CDD}">
  <dimension ref="A1:G160"/>
  <sheetViews>
    <sheetView showGridLines="0" zoomScale="80" zoomScaleNormal="80" workbookViewId="0">
      <pane ySplit="1" topLeftCell="A2" activePane="bottomLeft" state="frozen"/>
      <selection pane="bottomLeft"/>
    </sheetView>
  </sheetViews>
  <sheetFormatPr defaultRowHeight="14.4"/>
  <cols>
    <col min="1" max="1" width="10.6640625" style="136" customWidth="1"/>
    <col min="2" max="2" width="35.6640625" style="136" customWidth="1"/>
    <col min="3" max="3" width="35.6640625" customWidth="1"/>
    <col min="4" max="5" width="28.33203125" style="136" customWidth="1"/>
    <col min="6" max="6" width="28.33203125" customWidth="1"/>
    <col min="7" max="7" width="34.33203125" style="136" customWidth="1"/>
    <col min="8" max="8" width="29.44140625" customWidth="1"/>
    <col min="9" max="9" width="17.44140625" customWidth="1"/>
    <col min="11" max="11" width="20" customWidth="1"/>
    <col min="13" max="13" width="14.109375" customWidth="1"/>
  </cols>
  <sheetData>
    <row r="1" spans="1:6">
      <c r="A1" s="144" t="s">
        <v>460</v>
      </c>
      <c r="B1" s="144" t="s">
        <v>461</v>
      </c>
      <c r="C1" s="263" t="s">
        <v>52</v>
      </c>
      <c r="D1" s="264"/>
      <c r="E1" s="264"/>
      <c r="F1" s="265"/>
    </row>
    <row r="2" spans="1:6" ht="60" customHeight="1">
      <c r="A2" s="256">
        <v>1</v>
      </c>
      <c r="B2" s="260" t="s">
        <v>462</v>
      </c>
      <c r="C2" s="266" t="s">
        <v>463</v>
      </c>
      <c r="D2" s="267"/>
      <c r="E2" s="267"/>
      <c r="F2" s="268"/>
    </row>
    <row r="3" spans="1:6">
      <c r="A3" s="257"/>
      <c r="B3" s="261"/>
      <c r="C3" s="5"/>
      <c r="D3" s="135"/>
      <c r="E3" s="182"/>
      <c r="F3" s="5"/>
    </row>
    <row r="4" spans="1:6">
      <c r="A4" s="257"/>
      <c r="B4" s="261"/>
      <c r="C4" s="269" t="s">
        <v>456</v>
      </c>
      <c r="D4" s="270"/>
      <c r="E4" s="270"/>
      <c r="F4" s="271"/>
    </row>
    <row r="5" spans="1:6">
      <c r="A5" s="257"/>
      <c r="B5" s="261"/>
      <c r="C5" s="11" t="s">
        <v>464</v>
      </c>
      <c r="D5" s="140" t="s">
        <v>508</v>
      </c>
      <c r="E5" s="208" t="s">
        <v>507</v>
      </c>
      <c r="F5" s="140" t="s">
        <v>504</v>
      </c>
    </row>
    <row r="6" spans="1:6">
      <c r="A6" s="257"/>
      <c r="B6" s="261"/>
      <c r="C6" s="11" t="s">
        <v>467</v>
      </c>
      <c r="D6" s="178">
        <v>0</v>
      </c>
      <c r="E6" s="182">
        <v>10</v>
      </c>
      <c r="F6" s="178">
        <v>100</v>
      </c>
    </row>
    <row r="7" spans="1:6">
      <c r="A7" s="257"/>
      <c r="B7" s="261"/>
      <c r="C7" s="11" t="s">
        <v>471</v>
      </c>
      <c r="D7" s="178">
        <v>10</v>
      </c>
      <c r="E7" s="182">
        <v>10</v>
      </c>
      <c r="F7" s="178">
        <v>100</v>
      </c>
    </row>
    <row r="8" spans="1:6">
      <c r="A8" s="257"/>
      <c r="B8" s="261"/>
      <c r="C8" s="138" t="s">
        <v>468</v>
      </c>
      <c r="D8" s="178">
        <v>20</v>
      </c>
      <c r="E8" s="182">
        <v>10</v>
      </c>
      <c r="F8" s="178">
        <v>100</v>
      </c>
    </row>
    <row r="9" spans="1:6">
      <c r="A9" s="257"/>
      <c r="B9" s="261"/>
      <c r="C9" s="139" t="s">
        <v>469</v>
      </c>
      <c r="D9" s="178">
        <v>30</v>
      </c>
      <c r="E9" s="182">
        <v>10</v>
      </c>
      <c r="F9" s="178">
        <v>50</v>
      </c>
    </row>
    <row r="10" spans="1:6">
      <c r="A10" s="257"/>
      <c r="B10" s="261"/>
      <c r="C10" s="184" t="s">
        <v>505</v>
      </c>
      <c r="D10" s="178">
        <v>40</v>
      </c>
      <c r="E10" s="182">
        <v>10</v>
      </c>
      <c r="F10" s="178" t="s">
        <v>506</v>
      </c>
    </row>
    <row r="11" spans="1:6">
      <c r="A11" s="257"/>
      <c r="B11" s="261"/>
      <c r="C11" s="11" t="s">
        <v>476</v>
      </c>
      <c r="D11" s="178">
        <v>50</v>
      </c>
      <c r="E11" s="182">
        <v>10</v>
      </c>
      <c r="F11" s="178">
        <v>100</v>
      </c>
    </row>
    <row r="12" spans="1:6">
      <c r="A12" s="257"/>
      <c r="B12" s="261"/>
      <c r="C12" s="184" t="s">
        <v>505</v>
      </c>
      <c r="D12" s="178">
        <v>60</v>
      </c>
      <c r="E12" s="182">
        <v>10</v>
      </c>
      <c r="F12" s="178" t="s">
        <v>506</v>
      </c>
    </row>
    <row r="13" spans="1:6">
      <c r="A13" s="257"/>
      <c r="B13" s="261"/>
      <c r="C13" s="138" t="s">
        <v>470</v>
      </c>
      <c r="D13" s="178">
        <v>70</v>
      </c>
      <c r="E13" s="182">
        <v>10</v>
      </c>
      <c r="F13" s="178">
        <v>100</v>
      </c>
    </row>
    <row r="14" spans="1:6">
      <c r="A14" s="257"/>
      <c r="B14" s="261"/>
      <c r="C14" s="139" t="s">
        <v>469</v>
      </c>
      <c r="D14" s="178">
        <v>80</v>
      </c>
      <c r="E14" s="182">
        <v>10</v>
      </c>
      <c r="F14" s="178">
        <v>50</v>
      </c>
    </row>
    <row r="15" spans="1:6">
      <c r="A15" s="257"/>
      <c r="B15" s="261"/>
      <c r="C15" s="11" t="s">
        <v>472</v>
      </c>
      <c r="D15" s="178">
        <v>90</v>
      </c>
      <c r="E15" s="182">
        <v>5</v>
      </c>
      <c r="F15" s="178">
        <v>100</v>
      </c>
    </row>
    <row r="16" spans="1:6">
      <c r="A16" s="257"/>
      <c r="B16" s="261"/>
      <c r="C16" s="184" t="s">
        <v>505</v>
      </c>
      <c r="D16" s="178">
        <v>95</v>
      </c>
      <c r="E16" s="182">
        <v>5</v>
      </c>
      <c r="F16" s="178" t="s">
        <v>506</v>
      </c>
    </row>
    <row r="17" spans="1:6">
      <c r="A17" s="257"/>
      <c r="B17" s="261"/>
      <c r="C17" s="11" t="s">
        <v>467</v>
      </c>
      <c r="D17" s="178">
        <v>100</v>
      </c>
      <c r="E17" s="182">
        <v>10</v>
      </c>
      <c r="F17" s="178">
        <v>100</v>
      </c>
    </row>
    <row r="18" spans="1:6">
      <c r="A18" s="257"/>
      <c r="B18" s="261"/>
      <c r="C18" s="11" t="s">
        <v>471</v>
      </c>
      <c r="D18" s="178">
        <v>110</v>
      </c>
      <c r="E18" s="182">
        <v>10</v>
      </c>
      <c r="F18" s="178">
        <v>100</v>
      </c>
    </row>
    <row r="19" spans="1:6">
      <c r="A19" s="257"/>
      <c r="B19" s="261"/>
      <c r="C19" s="138" t="s">
        <v>468</v>
      </c>
      <c r="D19" s="178">
        <v>120</v>
      </c>
      <c r="E19" s="182">
        <v>10</v>
      </c>
      <c r="F19" s="178">
        <v>100</v>
      </c>
    </row>
    <row r="20" spans="1:6">
      <c r="A20" s="257"/>
      <c r="B20" s="261"/>
      <c r="C20" s="139" t="s">
        <v>469</v>
      </c>
      <c r="D20" s="178">
        <v>130</v>
      </c>
      <c r="E20" s="182">
        <v>10</v>
      </c>
      <c r="F20" s="178">
        <v>50</v>
      </c>
    </row>
    <row r="21" spans="1:6">
      <c r="A21" s="257"/>
      <c r="B21" s="261"/>
      <c r="C21" s="184" t="s">
        <v>505</v>
      </c>
      <c r="D21" s="178">
        <v>140</v>
      </c>
      <c r="E21" s="182">
        <v>10</v>
      </c>
      <c r="F21" s="178" t="s">
        <v>506</v>
      </c>
    </row>
    <row r="22" spans="1:6">
      <c r="A22" s="257"/>
      <c r="B22" s="261"/>
      <c r="C22" s="11" t="s">
        <v>476</v>
      </c>
      <c r="D22" s="178">
        <v>150</v>
      </c>
      <c r="E22" s="182">
        <v>10</v>
      </c>
      <c r="F22" s="178">
        <v>100</v>
      </c>
    </row>
    <row r="23" spans="1:6">
      <c r="A23" s="257"/>
      <c r="B23" s="261"/>
      <c r="C23" s="184" t="s">
        <v>505</v>
      </c>
      <c r="D23" s="178">
        <v>160</v>
      </c>
      <c r="E23" s="182">
        <v>10</v>
      </c>
      <c r="F23" s="178" t="s">
        <v>506</v>
      </c>
    </row>
    <row r="24" spans="1:6">
      <c r="A24" s="257"/>
      <c r="B24" s="261"/>
      <c r="C24" s="138" t="s">
        <v>470</v>
      </c>
      <c r="D24" s="178">
        <v>170</v>
      </c>
      <c r="E24" s="182">
        <v>10</v>
      </c>
      <c r="F24" s="178">
        <v>100</v>
      </c>
    </row>
    <row r="25" spans="1:6">
      <c r="A25" s="257"/>
      <c r="B25" s="261"/>
      <c r="C25" s="139" t="s">
        <v>469</v>
      </c>
      <c r="D25" s="178">
        <v>180</v>
      </c>
      <c r="E25" s="182">
        <v>10</v>
      </c>
      <c r="F25" s="178">
        <v>50</v>
      </c>
    </row>
    <row r="26" spans="1:6">
      <c r="A26" s="257"/>
      <c r="B26" s="261"/>
      <c r="C26" s="11" t="s">
        <v>472</v>
      </c>
      <c r="D26" s="178">
        <v>190</v>
      </c>
      <c r="E26" s="182">
        <v>5</v>
      </c>
      <c r="F26" s="178">
        <v>100</v>
      </c>
    </row>
    <row r="27" spans="1:6">
      <c r="A27" s="257"/>
      <c r="B27" s="261"/>
      <c r="C27" s="184" t="s">
        <v>505</v>
      </c>
      <c r="D27" s="178">
        <v>195</v>
      </c>
      <c r="E27" s="182">
        <v>5</v>
      </c>
      <c r="F27" s="178" t="s">
        <v>506</v>
      </c>
    </row>
    <row r="28" spans="1:6">
      <c r="A28" s="257"/>
      <c r="B28" s="261"/>
      <c r="C28" s="11" t="s">
        <v>467</v>
      </c>
      <c r="D28" s="178">
        <v>200</v>
      </c>
      <c r="E28" s="182">
        <v>10</v>
      </c>
      <c r="F28" s="178">
        <v>100</v>
      </c>
    </row>
    <row r="29" spans="1:6">
      <c r="A29" s="257"/>
      <c r="B29" s="261"/>
      <c r="C29" s="11" t="s">
        <v>471</v>
      </c>
      <c r="D29" s="178">
        <v>210</v>
      </c>
      <c r="E29" s="182">
        <v>10</v>
      </c>
      <c r="F29" s="178">
        <v>100</v>
      </c>
    </row>
    <row r="30" spans="1:6">
      <c r="A30" s="257"/>
      <c r="B30" s="261"/>
      <c r="C30" s="138" t="s">
        <v>468</v>
      </c>
      <c r="D30" s="178">
        <v>220</v>
      </c>
      <c r="E30" s="182">
        <v>10</v>
      </c>
      <c r="F30" s="178">
        <v>100</v>
      </c>
    </row>
    <row r="31" spans="1:6">
      <c r="A31" s="257"/>
      <c r="B31" s="261"/>
      <c r="C31" s="139" t="s">
        <v>469</v>
      </c>
      <c r="D31" s="178">
        <v>230</v>
      </c>
      <c r="E31" s="182">
        <v>10</v>
      </c>
      <c r="F31" s="178">
        <v>50</v>
      </c>
    </row>
    <row r="32" spans="1:6">
      <c r="A32" s="257"/>
      <c r="B32" s="261"/>
      <c r="C32" s="184" t="s">
        <v>505</v>
      </c>
      <c r="D32" s="178">
        <v>240</v>
      </c>
      <c r="E32" s="182">
        <v>10</v>
      </c>
      <c r="F32" s="178" t="s">
        <v>506</v>
      </c>
    </row>
    <row r="33" spans="1:6">
      <c r="A33" s="257"/>
      <c r="B33" s="261"/>
      <c r="C33" s="11" t="s">
        <v>476</v>
      </c>
      <c r="D33" s="178">
        <v>250</v>
      </c>
      <c r="E33" s="182">
        <v>10</v>
      </c>
      <c r="F33" s="178">
        <v>100</v>
      </c>
    </row>
    <row r="34" spans="1:6">
      <c r="A34" s="257"/>
      <c r="B34" s="261"/>
      <c r="C34" s="184" t="s">
        <v>505</v>
      </c>
      <c r="D34" s="178">
        <v>260</v>
      </c>
      <c r="E34" s="182">
        <v>10</v>
      </c>
      <c r="F34" s="178" t="s">
        <v>506</v>
      </c>
    </row>
    <row r="35" spans="1:6">
      <c r="A35" s="257"/>
      <c r="B35" s="261"/>
      <c r="C35" s="138" t="s">
        <v>470</v>
      </c>
      <c r="D35" s="178">
        <v>270</v>
      </c>
      <c r="E35" s="182">
        <v>10</v>
      </c>
      <c r="F35" s="178">
        <v>100</v>
      </c>
    </row>
    <row r="36" spans="1:6">
      <c r="A36" s="257"/>
      <c r="B36" s="261"/>
      <c r="C36" s="139" t="s">
        <v>469</v>
      </c>
      <c r="D36" s="178">
        <v>280</v>
      </c>
      <c r="E36" s="182">
        <v>10</v>
      </c>
      <c r="F36" s="178">
        <v>50</v>
      </c>
    </row>
    <row r="37" spans="1:6">
      <c r="A37" s="257"/>
      <c r="B37" s="261"/>
      <c r="C37" s="11" t="s">
        <v>472</v>
      </c>
      <c r="D37" s="178">
        <v>290</v>
      </c>
      <c r="E37" s="182">
        <v>5</v>
      </c>
      <c r="F37" s="178">
        <v>100</v>
      </c>
    </row>
    <row r="38" spans="1:6">
      <c r="A38" s="257"/>
      <c r="B38" s="261"/>
      <c r="C38" s="184" t="s">
        <v>505</v>
      </c>
      <c r="D38" s="178">
        <v>295</v>
      </c>
      <c r="E38" s="182">
        <v>5</v>
      </c>
      <c r="F38" s="178" t="s">
        <v>506</v>
      </c>
    </row>
    <row r="39" spans="1:6">
      <c r="A39" s="257"/>
      <c r="B39" s="261"/>
      <c r="C39" s="11" t="s">
        <v>467</v>
      </c>
      <c r="D39" s="178">
        <v>300</v>
      </c>
      <c r="E39" s="182">
        <v>10</v>
      </c>
      <c r="F39" s="178">
        <v>100</v>
      </c>
    </row>
    <row r="40" spans="1:6">
      <c r="A40" s="257"/>
      <c r="B40" s="261"/>
      <c r="C40" s="11" t="s">
        <v>471</v>
      </c>
      <c r="D40" s="178">
        <v>310</v>
      </c>
      <c r="E40" s="182">
        <v>10</v>
      </c>
      <c r="F40" s="178">
        <v>100</v>
      </c>
    </row>
    <row r="41" spans="1:6">
      <c r="A41" s="257"/>
      <c r="B41" s="261"/>
      <c r="C41" s="138" t="s">
        <v>468</v>
      </c>
      <c r="D41" s="178">
        <v>320</v>
      </c>
      <c r="E41" s="182">
        <v>10</v>
      </c>
      <c r="F41" s="178">
        <v>100</v>
      </c>
    </row>
    <row r="42" spans="1:6">
      <c r="A42" s="257"/>
      <c r="B42" s="261"/>
      <c r="C42" s="139" t="s">
        <v>469</v>
      </c>
      <c r="D42" s="178">
        <v>330</v>
      </c>
      <c r="E42" s="182">
        <v>10</v>
      </c>
      <c r="F42" s="178">
        <v>50</v>
      </c>
    </row>
    <row r="43" spans="1:6">
      <c r="A43" s="257"/>
      <c r="B43" s="261"/>
      <c r="C43" s="184" t="s">
        <v>505</v>
      </c>
      <c r="D43" s="178">
        <v>340</v>
      </c>
      <c r="E43" s="182">
        <v>10</v>
      </c>
      <c r="F43" s="178" t="s">
        <v>506</v>
      </c>
    </row>
    <row r="44" spans="1:6">
      <c r="A44" s="257"/>
      <c r="B44" s="261"/>
      <c r="C44" s="11" t="s">
        <v>476</v>
      </c>
      <c r="D44" s="178">
        <v>350</v>
      </c>
      <c r="E44" s="182">
        <v>10</v>
      </c>
      <c r="F44" s="178">
        <v>100</v>
      </c>
    </row>
    <row r="45" spans="1:6">
      <c r="A45" s="257"/>
      <c r="B45" s="261"/>
      <c r="C45" s="184" t="s">
        <v>505</v>
      </c>
      <c r="D45" s="178">
        <v>360</v>
      </c>
      <c r="E45" s="182">
        <v>10</v>
      </c>
      <c r="F45" s="178" t="s">
        <v>506</v>
      </c>
    </row>
    <row r="46" spans="1:6">
      <c r="A46" s="257"/>
      <c r="B46" s="261"/>
      <c r="C46" s="138" t="s">
        <v>470</v>
      </c>
      <c r="D46" s="178">
        <v>370</v>
      </c>
      <c r="E46" s="182">
        <v>10</v>
      </c>
      <c r="F46" s="178">
        <v>100</v>
      </c>
    </row>
    <row r="47" spans="1:6">
      <c r="A47" s="257"/>
      <c r="B47" s="261"/>
      <c r="C47" s="139" t="s">
        <v>469</v>
      </c>
      <c r="D47" s="178">
        <v>380</v>
      </c>
      <c r="E47" s="182">
        <v>10</v>
      </c>
      <c r="F47" s="178">
        <v>50</v>
      </c>
    </row>
    <row r="48" spans="1:6">
      <c r="A48" s="257"/>
      <c r="B48" s="261"/>
      <c r="C48" s="11" t="s">
        <v>472</v>
      </c>
      <c r="D48" s="178">
        <v>390</v>
      </c>
      <c r="E48" s="182">
        <v>5</v>
      </c>
      <c r="F48" s="178">
        <v>100</v>
      </c>
    </row>
    <row r="49" spans="1:6">
      <c r="A49" s="257"/>
      <c r="B49" s="261"/>
      <c r="C49" s="184" t="s">
        <v>505</v>
      </c>
      <c r="D49" s="183">
        <v>395</v>
      </c>
      <c r="E49" s="182">
        <v>5</v>
      </c>
      <c r="F49" s="178" t="s">
        <v>506</v>
      </c>
    </row>
    <row r="50" spans="1:6">
      <c r="A50" s="257"/>
      <c r="B50" s="261"/>
      <c r="C50" s="272" t="s">
        <v>473</v>
      </c>
      <c r="D50" s="273"/>
      <c r="E50" s="273"/>
      <c r="F50" s="274"/>
    </row>
    <row r="51" spans="1:6">
      <c r="A51" s="257"/>
      <c r="B51" s="261"/>
      <c r="C51" s="135"/>
      <c r="D51" s="135"/>
      <c r="E51" s="182"/>
      <c r="F51" s="5"/>
    </row>
    <row r="52" spans="1:6">
      <c r="A52" s="257"/>
      <c r="B52" s="261"/>
      <c r="C52" s="269" t="s">
        <v>458</v>
      </c>
      <c r="D52" s="270"/>
      <c r="E52" s="270"/>
      <c r="F52" s="271"/>
    </row>
    <row r="53" spans="1:6">
      <c r="A53" s="257"/>
      <c r="B53" s="261"/>
      <c r="C53" s="11" t="s">
        <v>464</v>
      </c>
      <c r="D53" s="140" t="s">
        <v>508</v>
      </c>
      <c r="E53" s="208" t="s">
        <v>507</v>
      </c>
      <c r="F53" s="140" t="s">
        <v>504</v>
      </c>
    </row>
    <row r="54" spans="1:6">
      <c r="A54" s="257"/>
      <c r="B54" s="261"/>
      <c r="C54" s="11" t="s">
        <v>467</v>
      </c>
      <c r="D54" s="135">
        <v>0</v>
      </c>
      <c r="E54" s="182">
        <v>10</v>
      </c>
      <c r="F54" s="178">
        <v>100</v>
      </c>
    </row>
    <row r="55" spans="1:6">
      <c r="A55" s="257"/>
      <c r="B55" s="261"/>
      <c r="C55" s="11" t="s">
        <v>471</v>
      </c>
      <c r="D55" s="135">
        <v>10</v>
      </c>
      <c r="E55" s="182">
        <v>10</v>
      </c>
      <c r="F55" s="178">
        <v>100</v>
      </c>
    </row>
    <row r="56" spans="1:6">
      <c r="A56" s="257"/>
      <c r="B56" s="261"/>
      <c r="C56" s="138" t="s">
        <v>468</v>
      </c>
      <c r="D56" s="135">
        <v>20</v>
      </c>
      <c r="E56" s="182">
        <v>10</v>
      </c>
      <c r="F56" s="178">
        <v>100</v>
      </c>
    </row>
    <row r="57" spans="1:6">
      <c r="A57" s="257"/>
      <c r="B57" s="261"/>
      <c r="C57" s="139" t="s">
        <v>469</v>
      </c>
      <c r="D57" s="135">
        <v>30</v>
      </c>
      <c r="E57" s="182">
        <v>10</v>
      </c>
      <c r="F57" s="178">
        <v>50</v>
      </c>
    </row>
    <row r="58" spans="1:6">
      <c r="A58" s="257"/>
      <c r="B58" s="261"/>
      <c r="C58" s="137" t="s">
        <v>474</v>
      </c>
      <c r="D58" s="135">
        <v>40</v>
      </c>
      <c r="E58" s="182">
        <v>10</v>
      </c>
      <c r="F58" s="178">
        <v>100</v>
      </c>
    </row>
    <row r="59" spans="1:6">
      <c r="A59" s="257"/>
      <c r="B59" s="261"/>
      <c r="C59" s="11" t="s">
        <v>476</v>
      </c>
      <c r="D59" s="135">
        <v>50</v>
      </c>
      <c r="E59" s="182">
        <v>10</v>
      </c>
      <c r="F59" s="178">
        <v>100</v>
      </c>
    </row>
    <row r="60" spans="1:6">
      <c r="A60" s="257"/>
      <c r="B60" s="261"/>
      <c r="C60" s="137" t="s">
        <v>475</v>
      </c>
      <c r="D60" s="135">
        <v>60</v>
      </c>
      <c r="E60" s="182">
        <v>10</v>
      </c>
      <c r="F60" s="178">
        <v>100</v>
      </c>
    </row>
    <row r="61" spans="1:6">
      <c r="A61" s="257"/>
      <c r="B61" s="261"/>
      <c r="C61" s="138" t="s">
        <v>470</v>
      </c>
      <c r="D61" s="135">
        <v>70</v>
      </c>
      <c r="E61" s="182">
        <v>10</v>
      </c>
      <c r="F61" s="178">
        <v>100</v>
      </c>
    </row>
    <row r="62" spans="1:6">
      <c r="A62" s="257"/>
      <c r="B62" s="261"/>
      <c r="C62" s="139" t="s">
        <v>469</v>
      </c>
      <c r="D62" s="135">
        <v>80</v>
      </c>
      <c r="E62" s="182">
        <v>10</v>
      </c>
      <c r="F62" s="178">
        <v>50</v>
      </c>
    </row>
    <row r="63" spans="1:6">
      <c r="A63" s="257"/>
      <c r="B63" s="261"/>
      <c r="C63" s="11" t="s">
        <v>472</v>
      </c>
      <c r="D63" s="135">
        <v>90</v>
      </c>
      <c r="E63" s="182">
        <v>5</v>
      </c>
      <c r="F63" s="178">
        <v>100</v>
      </c>
    </row>
    <row r="64" spans="1:6">
      <c r="A64" s="257"/>
      <c r="B64" s="261"/>
      <c r="C64" s="184" t="s">
        <v>505</v>
      </c>
      <c r="D64" s="135">
        <v>95</v>
      </c>
      <c r="E64" s="182">
        <v>5</v>
      </c>
      <c r="F64" s="178" t="s">
        <v>506</v>
      </c>
    </row>
    <row r="65" spans="1:6">
      <c r="A65" s="257"/>
      <c r="B65" s="261"/>
      <c r="C65" s="11" t="s">
        <v>467</v>
      </c>
      <c r="D65" s="135">
        <v>100</v>
      </c>
      <c r="E65" s="182">
        <v>10</v>
      </c>
      <c r="F65" s="178">
        <v>100</v>
      </c>
    </row>
    <row r="66" spans="1:6">
      <c r="A66" s="257"/>
      <c r="B66" s="261"/>
      <c r="C66" s="11" t="s">
        <v>471</v>
      </c>
      <c r="D66" s="135">
        <v>110</v>
      </c>
      <c r="E66" s="182">
        <v>10</v>
      </c>
      <c r="F66" s="178">
        <v>100</v>
      </c>
    </row>
    <row r="67" spans="1:6">
      <c r="A67" s="257"/>
      <c r="B67" s="261"/>
      <c r="C67" s="138" t="s">
        <v>468</v>
      </c>
      <c r="D67" s="135">
        <v>120</v>
      </c>
      <c r="E67" s="182">
        <v>10</v>
      </c>
      <c r="F67" s="178">
        <v>100</v>
      </c>
    </row>
    <row r="68" spans="1:6">
      <c r="A68" s="257"/>
      <c r="B68" s="261"/>
      <c r="C68" s="139" t="s">
        <v>469</v>
      </c>
      <c r="D68" s="135">
        <v>130</v>
      </c>
      <c r="E68" s="182">
        <v>10</v>
      </c>
      <c r="F68" s="178">
        <v>50</v>
      </c>
    </row>
    <row r="69" spans="1:6">
      <c r="A69" s="257"/>
      <c r="B69" s="261"/>
      <c r="C69" s="137" t="s">
        <v>474</v>
      </c>
      <c r="D69" s="135">
        <v>140</v>
      </c>
      <c r="E69" s="182">
        <v>10</v>
      </c>
      <c r="F69" s="178">
        <v>100</v>
      </c>
    </row>
    <row r="70" spans="1:6">
      <c r="A70" s="257"/>
      <c r="B70" s="261"/>
      <c r="C70" s="11" t="s">
        <v>476</v>
      </c>
      <c r="D70" s="135">
        <v>150</v>
      </c>
      <c r="E70" s="182">
        <v>10</v>
      </c>
      <c r="F70" s="178">
        <v>100</v>
      </c>
    </row>
    <row r="71" spans="1:6">
      <c r="A71" s="257"/>
      <c r="B71" s="261"/>
      <c r="C71" s="137" t="s">
        <v>475</v>
      </c>
      <c r="D71" s="135">
        <v>160</v>
      </c>
      <c r="E71" s="182">
        <v>10</v>
      </c>
      <c r="F71" s="178">
        <v>100</v>
      </c>
    </row>
    <row r="72" spans="1:6">
      <c r="A72" s="257"/>
      <c r="B72" s="261"/>
      <c r="C72" s="138" t="s">
        <v>470</v>
      </c>
      <c r="D72" s="135">
        <v>170</v>
      </c>
      <c r="E72" s="182">
        <v>10</v>
      </c>
      <c r="F72" s="178">
        <v>100</v>
      </c>
    </row>
    <row r="73" spans="1:6">
      <c r="A73" s="257"/>
      <c r="B73" s="261"/>
      <c r="C73" s="139" t="s">
        <v>469</v>
      </c>
      <c r="D73" s="135">
        <v>180</v>
      </c>
      <c r="E73" s="182">
        <v>10</v>
      </c>
      <c r="F73" s="178">
        <v>50</v>
      </c>
    </row>
    <row r="74" spans="1:6">
      <c r="A74" s="257"/>
      <c r="B74" s="261"/>
      <c r="C74" s="11" t="s">
        <v>472</v>
      </c>
      <c r="D74" s="135">
        <v>190</v>
      </c>
      <c r="E74" s="182">
        <v>5</v>
      </c>
      <c r="F74" s="178">
        <v>100</v>
      </c>
    </row>
    <row r="75" spans="1:6">
      <c r="A75" s="257"/>
      <c r="B75" s="261"/>
      <c r="C75" s="184" t="s">
        <v>505</v>
      </c>
      <c r="D75" s="135">
        <v>195</v>
      </c>
      <c r="E75" s="182">
        <v>5</v>
      </c>
      <c r="F75" s="178" t="s">
        <v>506</v>
      </c>
    </row>
    <row r="76" spans="1:6">
      <c r="A76" s="257"/>
      <c r="B76" s="261"/>
      <c r="C76" s="11" t="s">
        <v>467</v>
      </c>
      <c r="D76" s="135">
        <v>200</v>
      </c>
      <c r="E76" s="182">
        <v>10</v>
      </c>
      <c r="F76" s="178">
        <v>100</v>
      </c>
    </row>
    <row r="77" spans="1:6">
      <c r="A77" s="257"/>
      <c r="B77" s="261"/>
      <c r="C77" s="11" t="s">
        <v>471</v>
      </c>
      <c r="D77" s="135">
        <v>210</v>
      </c>
      <c r="E77" s="182">
        <v>10</v>
      </c>
      <c r="F77" s="178">
        <v>100</v>
      </c>
    </row>
    <row r="78" spans="1:6">
      <c r="A78" s="257"/>
      <c r="B78" s="261"/>
      <c r="C78" s="138" t="s">
        <v>468</v>
      </c>
      <c r="D78" s="135">
        <v>220</v>
      </c>
      <c r="E78" s="182">
        <v>10</v>
      </c>
      <c r="F78" s="178">
        <v>100</v>
      </c>
    </row>
    <row r="79" spans="1:6">
      <c r="A79" s="257"/>
      <c r="B79" s="261"/>
      <c r="C79" s="139" t="s">
        <v>469</v>
      </c>
      <c r="D79" s="135">
        <v>230</v>
      </c>
      <c r="E79" s="182">
        <v>10</v>
      </c>
      <c r="F79" s="178">
        <v>50</v>
      </c>
    </row>
    <row r="80" spans="1:6">
      <c r="A80" s="257"/>
      <c r="B80" s="261"/>
      <c r="C80" s="137" t="s">
        <v>474</v>
      </c>
      <c r="D80" s="135">
        <v>240</v>
      </c>
      <c r="E80" s="182">
        <v>10</v>
      </c>
      <c r="F80" s="178">
        <v>100</v>
      </c>
    </row>
    <row r="81" spans="1:6">
      <c r="A81" s="257"/>
      <c r="B81" s="261"/>
      <c r="C81" s="11" t="s">
        <v>476</v>
      </c>
      <c r="D81" s="135">
        <v>250</v>
      </c>
      <c r="E81" s="182">
        <v>10</v>
      </c>
      <c r="F81" s="178">
        <v>100</v>
      </c>
    </row>
    <row r="82" spans="1:6">
      <c r="A82" s="257"/>
      <c r="B82" s="261"/>
      <c r="C82" s="137" t="s">
        <v>475</v>
      </c>
      <c r="D82" s="135">
        <v>260</v>
      </c>
      <c r="E82" s="182">
        <v>10</v>
      </c>
      <c r="F82" s="178">
        <v>100</v>
      </c>
    </row>
    <row r="83" spans="1:6">
      <c r="A83" s="257"/>
      <c r="B83" s="261"/>
      <c r="C83" s="138" t="s">
        <v>470</v>
      </c>
      <c r="D83" s="135">
        <v>270</v>
      </c>
      <c r="E83" s="182">
        <v>10</v>
      </c>
      <c r="F83" s="178">
        <v>100</v>
      </c>
    </row>
    <row r="84" spans="1:6">
      <c r="A84" s="257"/>
      <c r="B84" s="261"/>
      <c r="C84" s="139" t="s">
        <v>469</v>
      </c>
      <c r="D84" s="135">
        <v>280</v>
      </c>
      <c r="E84" s="182">
        <v>10</v>
      </c>
      <c r="F84" s="178">
        <v>50</v>
      </c>
    </row>
    <row r="85" spans="1:6">
      <c r="A85" s="257"/>
      <c r="B85" s="261"/>
      <c r="C85" s="11" t="s">
        <v>472</v>
      </c>
      <c r="D85" s="135">
        <v>290</v>
      </c>
      <c r="E85" s="182">
        <v>5</v>
      </c>
      <c r="F85" s="178">
        <v>100</v>
      </c>
    </row>
    <row r="86" spans="1:6">
      <c r="A86" s="257"/>
      <c r="B86" s="261"/>
      <c r="C86" s="184" t="s">
        <v>505</v>
      </c>
      <c r="D86" s="135">
        <v>295</v>
      </c>
      <c r="E86" s="182">
        <v>5</v>
      </c>
      <c r="F86" s="178" t="s">
        <v>506</v>
      </c>
    </row>
    <row r="87" spans="1:6">
      <c r="A87" s="257"/>
      <c r="B87" s="261"/>
      <c r="C87" s="11" t="s">
        <v>467</v>
      </c>
      <c r="D87" s="135">
        <v>300</v>
      </c>
      <c r="E87" s="182">
        <v>10</v>
      </c>
      <c r="F87" s="178">
        <v>100</v>
      </c>
    </row>
    <row r="88" spans="1:6">
      <c r="A88" s="257"/>
      <c r="B88" s="261"/>
      <c r="C88" s="11" t="s">
        <v>471</v>
      </c>
      <c r="D88" s="135">
        <v>310</v>
      </c>
      <c r="E88" s="182">
        <v>10</v>
      </c>
      <c r="F88" s="178">
        <v>100</v>
      </c>
    </row>
    <row r="89" spans="1:6">
      <c r="A89" s="257"/>
      <c r="B89" s="261"/>
      <c r="C89" s="138" t="s">
        <v>468</v>
      </c>
      <c r="D89" s="135">
        <v>320</v>
      </c>
      <c r="E89" s="182">
        <v>10</v>
      </c>
      <c r="F89" s="178">
        <v>100</v>
      </c>
    </row>
    <row r="90" spans="1:6">
      <c r="A90" s="257"/>
      <c r="B90" s="261"/>
      <c r="C90" s="139" t="s">
        <v>469</v>
      </c>
      <c r="D90" s="135">
        <v>330</v>
      </c>
      <c r="E90" s="182">
        <v>10</v>
      </c>
      <c r="F90" s="178">
        <v>50</v>
      </c>
    </row>
    <row r="91" spans="1:6">
      <c r="A91" s="257"/>
      <c r="B91" s="261"/>
      <c r="C91" s="137" t="s">
        <v>474</v>
      </c>
      <c r="D91" s="135">
        <v>340</v>
      </c>
      <c r="E91" s="182">
        <v>10</v>
      </c>
      <c r="F91" s="178">
        <v>100</v>
      </c>
    </row>
    <row r="92" spans="1:6">
      <c r="A92" s="257"/>
      <c r="B92" s="261"/>
      <c r="C92" s="11" t="s">
        <v>476</v>
      </c>
      <c r="D92" s="135">
        <v>350</v>
      </c>
      <c r="E92" s="182">
        <v>10</v>
      </c>
      <c r="F92" s="178">
        <v>100</v>
      </c>
    </row>
    <row r="93" spans="1:6">
      <c r="A93" s="257"/>
      <c r="B93" s="261"/>
      <c r="C93" s="137" t="s">
        <v>475</v>
      </c>
      <c r="D93" s="135">
        <v>360</v>
      </c>
      <c r="E93" s="182">
        <v>10</v>
      </c>
      <c r="F93" s="178">
        <v>100</v>
      </c>
    </row>
    <row r="94" spans="1:6">
      <c r="A94" s="257"/>
      <c r="B94" s="261"/>
      <c r="C94" s="138" t="s">
        <v>470</v>
      </c>
      <c r="D94" s="135">
        <v>370</v>
      </c>
      <c r="E94" s="182">
        <v>10</v>
      </c>
      <c r="F94" s="178">
        <v>100</v>
      </c>
    </row>
    <row r="95" spans="1:6">
      <c r="A95" s="257"/>
      <c r="B95" s="261"/>
      <c r="C95" s="139" t="s">
        <v>469</v>
      </c>
      <c r="D95" s="135">
        <v>380</v>
      </c>
      <c r="E95" s="182">
        <v>10</v>
      </c>
      <c r="F95" s="178">
        <v>50</v>
      </c>
    </row>
    <row r="96" spans="1:6">
      <c r="A96" s="257"/>
      <c r="B96" s="261"/>
      <c r="C96" s="11" t="s">
        <v>472</v>
      </c>
      <c r="D96" s="135">
        <v>390</v>
      </c>
      <c r="E96" s="182">
        <v>5</v>
      </c>
      <c r="F96" s="178">
        <v>100</v>
      </c>
    </row>
    <row r="97" spans="1:6">
      <c r="A97" s="257"/>
      <c r="B97" s="261"/>
      <c r="C97" s="184" t="s">
        <v>505</v>
      </c>
      <c r="D97" s="177">
        <v>395</v>
      </c>
      <c r="E97" s="182">
        <v>5</v>
      </c>
      <c r="F97" s="178" t="s">
        <v>506</v>
      </c>
    </row>
    <row r="98" spans="1:6">
      <c r="A98" s="257"/>
      <c r="B98" s="261"/>
      <c r="C98" s="272" t="s">
        <v>473</v>
      </c>
      <c r="D98" s="273"/>
      <c r="E98" s="273"/>
      <c r="F98" s="274"/>
    </row>
    <row r="99" spans="1:6">
      <c r="A99" s="258"/>
      <c r="B99" s="262"/>
      <c r="C99" s="5"/>
      <c r="D99" s="135"/>
      <c r="E99" s="182"/>
      <c r="F99" s="5"/>
    </row>
    <row r="100" spans="1:6" ht="48.75" customHeight="1">
      <c r="A100" s="256">
        <v>2</v>
      </c>
      <c r="B100" s="260" t="s">
        <v>477</v>
      </c>
      <c r="C100" s="276" t="s">
        <v>478</v>
      </c>
      <c r="D100" s="276"/>
      <c r="E100" s="276"/>
      <c r="F100" s="276"/>
    </row>
    <row r="101" spans="1:6" ht="140.25" customHeight="1">
      <c r="A101" s="257"/>
      <c r="B101" s="261"/>
      <c r="C101" s="278" t="s">
        <v>479</v>
      </c>
      <c r="D101" s="278"/>
      <c r="E101" s="278"/>
      <c r="F101" s="278"/>
    </row>
    <row r="102" spans="1:6" ht="48.75" customHeight="1">
      <c r="A102" s="257"/>
      <c r="B102" s="261"/>
      <c r="C102" s="282"/>
      <c r="D102" s="282"/>
      <c r="E102" s="282"/>
      <c r="F102" s="282"/>
    </row>
    <row r="103" spans="1:6" ht="48.75" customHeight="1">
      <c r="A103" s="257"/>
      <c r="B103" s="261"/>
      <c r="C103" s="282"/>
      <c r="D103" s="282"/>
      <c r="E103" s="282"/>
      <c r="F103" s="282"/>
    </row>
    <row r="104" spans="1:6" ht="48.75" customHeight="1">
      <c r="A104" s="257"/>
      <c r="B104" s="261"/>
      <c r="C104" s="282"/>
      <c r="D104" s="282"/>
      <c r="E104" s="282"/>
      <c r="F104" s="282"/>
    </row>
    <row r="105" spans="1:6" ht="48.75" customHeight="1">
      <c r="A105" s="257"/>
      <c r="B105" s="261"/>
      <c r="C105" s="282"/>
      <c r="D105" s="282"/>
      <c r="E105" s="282"/>
      <c r="F105" s="282"/>
    </row>
    <row r="106" spans="1:6" ht="48.75" customHeight="1">
      <c r="A106" s="257"/>
      <c r="B106" s="261"/>
      <c r="C106" s="282"/>
      <c r="D106" s="282"/>
      <c r="E106" s="282"/>
      <c r="F106" s="282"/>
    </row>
    <row r="107" spans="1:6" ht="48.75" customHeight="1">
      <c r="A107" s="257"/>
      <c r="B107" s="261"/>
      <c r="C107" s="282"/>
      <c r="D107" s="282"/>
      <c r="E107" s="282"/>
      <c r="F107" s="282"/>
    </row>
    <row r="108" spans="1:6" ht="15" customHeight="1">
      <c r="A108" s="257"/>
      <c r="B108" s="261"/>
      <c r="C108" s="180"/>
      <c r="D108" s="181"/>
      <c r="E108" s="181"/>
      <c r="F108" s="209"/>
    </row>
    <row r="109" spans="1:6" ht="15" customHeight="1">
      <c r="A109" s="257"/>
      <c r="B109" s="261"/>
      <c r="C109" s="283" t="s">
        <v>480</v>
      </c>
      <c r="D109" s="283"/>
      <c r="E109" s="283"/>
      <c r="F109" s="283"/>
    </row>
    <row r="110" spans="1:6" ht="32.25" customHeight="1">
      <c r="A110" s="257"/>
      <c r="B110" s="261"/>
      <c r="C110" s="283"/>
      <c r="D110" s="283"/>
      <c r="E110" s="283"/>
      <c r="F110" s="283"/>
    </row>
    <row r="111" spans="1:6">
      <c r="A111" s="257"/>
      <c r="B111" s="261"/>
      <c r="C111" s="5"/>
      <c r="D111" s="178"/>
      <c r="E111" s="178"/>
      <c r="F111" s="5"/>
    </row>
    <row r="112" spans="1:6">
      <c r="A112" s="257"/>
      <c r="B112" s="261"/>
      <c r="C112" s="279" t="s">
        <v>481</v>
      </c>
      <c r="D112" s="279"/>
      <c r="E112" s="279"/>
      <c r="F112" s="279"/>
    </row>
    <row r="113" spans="1:6">
      <c r="A113" s="257"/>
      <c r="B113" s="261"/>
      <c r="C113" s="275" t="s">
        <v>482</v>
      </c>
      <c r="D113" s="275"/>
      <c r="E113" s="275"/>
      <c r="F113" s="275"/>
    </row>
    <row r="114" spans="1:6">
      <c r="A114" s="257"/>
      <c r="B114" s="261"/>
      <c r="C114" s="11" t="s">
        <v>464</v>
      </c>
      <c r="D114" s="140" t="s">
        <v>465</v>
      </c>
      <c r="E114" s="140" t="s">
        <v>466</v>
      </c>
      <c r="F114" s="5"/>
    </row>
    <row r="115" spans="1:6">
      <c r="A115" s="257"/>
      <c r="B115" s="261"/>
      <c r="C115" s="5" t="s">
        <v>483</v>
      </c>
      <c r="D115" s="178">
        <v>0</v>
      </c>
      <c r="E115" s="178">
        <v>5</v>
      </c>
      <c r="F115" s="5"/>
    </row>
    <row r="116" spans="1:6">
      <c r="A116" s="257"/>
      <c r="B116" s="261"/>
      <c r="C116" s="210" t="s">
        <v>484</v>
      </c>
      <c r="D116" s="178">
        <v>5</v>
      </c>
      <c r="E116" s="178">
        <v>5</v>
      </c>
      <c r="F116" s="5"/>
    </row>
    <row r="117" spans="1:6">
      <c r="A117" s="257"/>
      <c r="B117" s="261"/>
      <c r="C117" s="5"/>
      <c r="D117" s="178"/>
      <c r="E117" s="178"/>
      <c r="F117" s="5"/>
    </row>
    <row r="118" spans="1:6" ht="76.5" customHeight="1">
      <c r="A118" s="257"/>
      <c r="B118" s="261"/>
      <c r="C118" s="283" t="s">
        <v>485</v>
      </c>
      <c r="D118" s="283"/>
      <c r="E118" s="283"/>
      <c r="F118" s="283"/>
    </row>
    <row r="119" spans="1:6">
      <c r="A119" s="257"/>
      <c r="B119" s="261"/>
      <c r="C119" s="5"/>
      <c r="D119" s="178"/>
      <c r="E119" s="178"/>
      <c r="F119" s="5"/>
    </row>
    <row r="120" spans="1:6">
      <c r="A120" s="257"/>
      <c r="B120" s="261"/>
      <c r="C120" s="284" t="s">
        <v>486</v>
      </c>
      <c r="D120" s="284"/>
      <c r="E120" s="284"/>
      <c r="F120" s="284"/>
    </row>
    <row r="121" spans="1:6">
      <c r="A121" s="257"/>
      <c r="B121" s="261"/>
      <c r="C121" s="285" t="s">
        <v>487</v>
      </c>
      <c r="D121" s="285"/>
      <c r="E121" s="285"/>
      <c r="F121" s="285"/>
    </row>
    <row r="122" spans="1:6">
      <c r="A122" s="257"/>
      <c r="B122" s="261"/>
      <c r="C122" s="11" t="s">
        <v>464</v>
      </c>
      <c r="D122" s="140" t="s">
        <v>465</v>
      </c>
      <c r="E122" s="140" t="s">
        <v>466</v>
      </c>
      <c r="F122" s="5"/>
    </row>
    <row r="123" spans="1:6">
      <c r="A123" s="257"/>
      <c r="B123" s="261"/>
      <c r="C123" s="141" t="s">
        <v>488</v>
      </c>
      <c r="D123" s="178">
        <v>0</v>
      </c>
      <c r="E123" s="178">
        <v>10</v>
      </c>
      <c r="F123" s="5"/>
    </row>
    <row r="124" spans="1:6">
      <c r="A124" s="257"/>
      <c r="B124" s="261"/>
      <c r="C124" s="141" t="s">
        <v>488</v>
      </c>
      <c r="D124" s="178">
        <v>10</v>
      </c>
      <c r="E124" s="178">
        <v>10</v>
      </c>
      <c r="F124" s="5"/>
    </row>
    <row r="125" spans="1:6">
      <c r="A125" s="257"/>
      <c r="B125" s="261"/>
      <c r="C125" s="286" t="s">
        <v>473</v>
      </c>
      <c r="D125" s="286"/>
      <c r="E125" s="286"/>
      <c r="F125" s="286"/>
    </row>
    <row r="126" spans="1:6">
      <c r="A126" s="257"/>
      <c r="B126" s="261"/>
      <c r="C126" s="178"/>
      <c r="D126" s="178"/>
      <c r="E126" s="178"/>
      <c r="F126" s="5"/>
    </row>
    <row r="127" spans="1:6" ht="14.4" customHeight="1">
      <c r="A127" s="257"/>
      <c r="B127" s="261"/>
      <c r="C127" s="287" t="s">
        <v>489</v>
      </c>
      <c r="D127" s="287"/>
      <c r="E127" s="287"/>
      <c r="F127" s="287"/>
    </row>
    <row r="128" spans="1:6">
      <c r="A128" s="257"/>
      <c r="B128" s="261"/>
      <c r="C128" s="287"/>
      <c r="D128" s="287"/>
      <c r="E128" s="287"/>
      <c r="F128" s="287"/>
    </row>
    <row r="129" spans="1:6" ht="94.5" customHeight="1">
      <c r="A129" s="257"/>
      <c r="B129" s="261"/>
      <c r="C129" s="287"/>
      <c r="D129" s="287"/>
      <c r="E129" s="287"/>
      <c r="F129" s="287"/>
    </row>
    <row r="130" spans="1:6" ht="49.5" customHeight="1">
      <c r="A130" s="257"/>
      <c r="B130" s="261"/>
      <c r="C130" s="288" t="s">
        <v>490</v>
      </c>
      <c r="D130" s="288"/>
      <c r="E130" s="288"/>
      <c r="F130" s="288"/>
    </row>
    <row r="131" spans="1:6">
      <c r="A131" s="257"/>
      <c r="B131" s="261"/>
      <c r="C131" s="178"/>
      <c r="D131" s="178"/>
      <c r="E131" s="178"/>
      <c r="F131" s="5"/>
    </row>
    <row r="132" spans="1:6">
      <c r="A132" s="257"/>
      <c r="B132" s="261"/>
      <c r="C132" s="279" t="s">
        <v>491</v>
      </c>
      <c r="D132" s="279"/>
      <c r="E132" s="279"/>
      <c r="F132" s="279"/>
    </row>
    <row r="133" spans="1:6">
      <c r="A133" s="257"/>
      <c r="B133" s="261"/>
      <c r="C133" s="275" t="s">
        <v>492</v>
      </c>
      <c r="D133" s="275"/>
      <c r="E133" s="275"/>
      <c r="F133" s="275"/>
    </row>
    <row r="134" spans="1:6">
      <c r="A134" s="257"/>
      <c r="B134" s="261"/>
      <c r="C134" s="11" t="s">
        <v>464</v>
      </c>
      <c r="D134" s="140" t="s">
        <v>465</v>
      </c>
      <c r="E134" s="140" t="s">
        <v>466</v>
      </c>
      <c r="F134" s="5"/>
    </row>
    <row r="135" spans="1:6">
      <c r="A135" s="257"/>
      <c r="B135" s="261"/>
      <c r="C135" s="141" t="s">
        <v>488</v>
      </c>
      <c r="D135" s="178">
        <v>0</v>
      </c>
      <c r="E135" s="178">
        <v>10</v>
      </c>
      <c r="F135" s="5"/>
    </row>
    <row r="136" spans="1:6">
      <c r="A136" s="257"/>
      <c r="B136" s="261"/>
      <c r="C136" s="141" t="s">
        <v>488</v>
      </c>
      <c r="D136" s="178">
        <v>10</v>
      </c>
      <c r="E136" s="178">
        <v>10</v>
      </c>
      <c r="F136" s="5"/>
    </row>
    <row r="137" spans="1:6">
      <c r="A137" s="257"/>
      <c r="B137" s="261"/>
      <c r="C137" s="143"/>
      <c r="D137" s="178"/>
      <c r="E137" s="178"/>
      <c r="F137" s="5"/>
    </row>
    <row r="138" spans="1:6" ht="14.4" customHeight="1">
      <c r="A138" s="257"/>
      <c r="B138" s="261"/>
      <c r="C138" s="280" t="s">
        <v>493</v>
      </c>
      <c r="D138" s="280"/>
      <c r="E138" s="280"/>
      <c r="F138" s="280"/>
    </row>
    <row r="139" spans="1:6">
      <c r="A139" s="257"/>
      <c r="B139" s="261"/>
      <c r="C139" s="280"/>
      <c r="D139" s="280"/>
      <c r="E139" s="280"/>
      <c r="F139" s="280"/>
    </row>
    <row r="140" spans="1:6" ht="10.5" customHeight="1">
      <c r="A140" s="257"/>
      <c r="B140" s="261"/>
      <c r="C140" s="280"/>
      <c r="D140" s="280"/>
      <c r="E140" s="280"/>
      <c r="F140" s="280"/>
    </row>
    <row r="141" spans="1:6">
      <c r="A141" s="257"/>
      <c r="B141" s="261"/>
      <c r="C141" s="211"/>
      <c r="D141" s="211"/>
      <c r="E141" s="211"/>
      <c r="F141" s="5"/>
    </row>
    <row r="142" spans="1:6">
      <c r="A142" s="257"/>
      <c r="B142" s="261"/>
      <c r="C142" s="281"/>
      <c r="D142" s="281"/>
      <c r="E142" s="281"/>
      <c r="F142" s="281"/>
    </row>
    <row r="143" spans="1:6">
      <c r="A143" s="257"/>
      <c r="B143" s="261"/>
      <c r="C143" s="281"/>
      <c r="D143" s="281"/>
      <c r="E143" s="281"/>
      <c r="F143" s="281"/>
    </row>
    <row r="144" spans="1:6">
      <c r="A144" s="257"/>
      <c r="B144" s="261"/>
      <c r="C144" s="281"/>
      <c r="D144" s="281"/>
      <c r="E144" s="281"/>
      <c r="F144" s="281"/>
    </row>
    <row r="145" spans="1:6">
      <c r="A145" s="257"/>
      <c r="B145" s="261"/>
      <c r="C145" s="281"/>
      <c r="D145" s="281"/>
      <c r="E145" s="281"/>
      <c r="F145" s="281"/>
    </row>
    <row r="146" spans="1:6">
      <c r="A146" s="257"/>
      <c r="B146" s="261"/>
      <c r="C146" s="281"/>
      <c r="D146" s="281"/>
      <c r="E146" s="281"/>
      <c r="F146" s="281"/>
    </row>
    <row r="147" spans="1:6">
      <c r="A147" s="257"/>
      <c r="B147" s="261"/>
      <c r="C147" s="281"/>
      <c r="D147" s="281"/>
      <c r="E147" s="281"/>
      <c r="F147" s="281"/>
    </row>
    <row r="148" spans="1:6">
      <c r="A148" s="257"/>
      <c r="B148" s="261"/>
      <c r="C148" s="281"/>
      <c r="D148" s="281"/>
      <c r="E148" s="281"/>
      <c r="F148" s="281"/>
    </row>
    <row r="149" spans="1:6">
      <c r="A149" s="257"/>
      <c r="B149" s="261"/>
      <c r="C149" s="143"/>
      <c r="D149" s="178"/>
      <c r="E149" s="178"/>
      <c r="F149" s="5"/>
    </row>
    <row r="150" spans="1:6">
      <c r="A150" s="257"/>
      <c r="B150" s="261"/>
      <c r="C150" s="5"/>
      <c r="D150" s="178"/>
      <c r="E150" s="178"/>
      <c r="F150" s="5"/>
    </row>
    <row r="151" spans="1:6" ht="75" customHeight="1">
      <c r="A151" s="277">
        <v>3</v>
      </c>
      <c r="B151" s="256" t="s">
        <v>494</v>
      </c>
      <c r="C151" s="276" t="s">
        <v>495</v>
      </c>
      <c r="D151" s="276"/>
      <c r="E151" s="276"/>
      <c r="F151" s="276"/>
    </row>
    <row r="152" spans="1:6">
      <c r="A152" s="277"/>
      <c r="B152" s="257"/>
      <c r="C152" s="5"/>
      <c r="D152" s="178"/>
      <c r="E152" s="178"/>
      <c r="F152" s="5"/>
    </row>
    <row r="153" spans="1:6">
      <c r="A153" s="277"/>
      <c r="B153" s="257"/>
      <c r="C153" s="275" t="s">
        <v>496</v>
      </c>
      <c r="D153" s="275"/>
      <c r="E153" s="275"/>
      <c r="F153" s="275"/>
    </row>
    <row r="154" spans="1:6">
      <c r="A154" s="277"/>
      <c r="B154" s="257"/>
      <c r="C154" s="11" t="s">
        <v>464</v>
      </c>
      <c r="D154" s="140" t="s">
        <v>465</v>
      </c>
      <c r="E154" s="140" t="s">
        <v>466</v>
      </c>
      <c r="F154" s="5"/>
    </row>
    <row r="155" spans="1:6">
      <c r="A155" s="277"/>
      <c r="B155" s="257"/>
      <c r="C155" s="142" t="s">
        <v>497</v>
      </c>
      <c r="D155" s="178">
        <v>0</v>
      </c>
      <c r="E155" s="178">
        <v>10</v>
      </c>
      <c r="F155" s="5"/>
    </row>
    <row r="156" spans="1:6">
      <c r="A156" s="277"/>
      <c r="B156" s="257"/>
      <c r="C156" s="142" t="s">
        <v>498</v>
      </c>
      <c r="D156" s="178">
        <v>10</v>
      </c>
      <c r="E156" s="178">
        <v>10</v>
      </c>
      <c r="F156" s="5"/>
    </row>
    <row r="157" spans="1:6">
      <c r="A157" s="277"/>
      <c r="B157" s="257"/>
      <c r="C157" s="142" t="s">
        <v>499</v>
      </c>
      <c r="D157" s="178">
        <v>20</v>
      </c>
      <c r="E157" s="178">
        <v>10</v>
      </c>
      <c r="F157" s="5"/>
    </row>
    <row r="158" spans="1:6">
      <c r="A158" s="277"/>
      <c r="B158" s="257"/>
      <c r="C158" s="142" t="s">
        <v>500</v>
      </c>
      <c r="D158" s="178">
        <v>30</v>
      </c>
      <c r="E158" s="178">
        <v>10</v>
      </c>
      <c r="F158" s="5"/>
    </row>
    <row r="159" spans="1:6">
      <c r="A159" s="277"/>
      <c r="B159" s="257"/>
      <c r="C159" s="142" t="s">
        <v>501</v>
      </c>
      <c r="D159" s="178">
        <v>40</v>
      </c>
      <c r="E159" s="178">
        <v>10</v>
      </c>
      <c r="F159" s="5"/>
    </row>
    <row r="160" spans="1:6" ht="44.25" customHeight="1">
      <c r="A160" s="179">
        <v>4</v>
      </c>
      <c r="B160" s="179" t="s">
        <v>502</v>
      </c>
      <c r="C160" s="276" t="s">
        <v>503</v>
      </c>
      <c r="D160" s="276"/>
      <c r="E160" s="276"/>
      <c r="F160" s="276"/>
    </row>
  </sheetData>
  <mergeCells count="31">
    <mergeCell ref="C127:F129"/>
    <mergeCell ref="C130:F130"/>
    <mergeCell ref="C113:F113"/>
    <mergeCell ref="C118:F118"/>
    <mergeCell ref="C120:F120"/>
    <mergeCell ref="C121:F121"/>
    <mergeCell ref="C125:F125"/>
    <mergeCell ref="C153:F153"/>
    <mergeCell ref="C160:F160"/>
    <mergeCell ref="A151:A159"/>
    <mergeCell ref="B151:B159"/>
    <mergeCell ref="A100:A150"/>
    <mergeCell ref="B100:B150"/>
    <mergeCell ref="C100:F100"/>
    <mergeCell ref="C101:F101"/>
    <mergeCell ref="C132:F132"/>
    <mergeCell ref="C133:F133"/>
    <mergeCell ref="C138:F140"/>
    <mergeCell ref="C142:F148"/>
    <mergeCell ref="C151:F151"/>
    <mergeCell ref="C102:F107"/>
    <mergeCell ref="C109:F110"/>
    <mergeCell ref="C112:F112"/>
    <mergeCell ref="A2:A99"/>
    <mergeCell ref="B2:B99"/>
    <mergeCell ref="C1:F1"/>
    <mergeCell ref="C2:F2"/>
    <mergeCell ref="C4:F4"/>
    <mergeCell ref="C52:F52"/>
    <mergeCell ref="C50:F50"/>
    <mergeCell ref="C98:F98"/>
  </mergeCells>
  <pageMargins left="0.7" right="0.7" top="0.75" bottom="0.75" header="0.3" footer="0.3"/>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8C2E32CEE24146A09106EF1A39242C" ma:contentTypeVersion="13" ma:contentTypeDescription="Create a new document." ma:contentTypeScope="" ma:versionID="6ba04b458b12319a14719ec4aa4fe886">
  <xsd:schema xmlns:xsd="http://www.w3.org/2001/XMLSchema" xmlns:xs="http://www.w3.org/2001/XMLSchema" xmlns:p="http://schemas.microsoft.com/office/2006/metadata/properties" xmlns:ns2="e99c5144-79c5-4f53-9a03-1ce91fc05c75" xmlns:ns3="81488670-712e-4aa1-b4a8-3efe893be811" targetNamespace="http://schemas.microsoft.com/office/2006/metadata/properties" ma:root="true" ma:fieldsID="9139f0a15a7dbd60da44c9dac0a56a5a" ns2:_="" ns3:_="">
    <xsd:import namespace="e99c5144-79c5-4f53-9a03-1ce91fc05c75"/>
    <xsd:import namespace="81488670-712e-4aa1-b4a8-3efe893be81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9c5144-79c5-4f53-9a03-1ce91fc05c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247bebf-ce0e-4fa1-bae7-748a1283d6f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1488670-712e-4aa1-b4a8-3efe893be81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cce8d7e-7c83-4ea3-800e-0534f20d2d6d}" ma:internalName="TaxCatchAll" ma:showField="CatchAllData" ma:web="81488670-712e-4aa1-b4a8-3efe893be8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9c5144-79c5-4f53-9a03-1ce91fc05c75">
      <Terms xmlns="http://schemas.microsoft.com/office/infopath/2007/PartnerControls"/>
    </lcf76f155ced4ddcb4097134ff3c332f>
    <TaxCatchAll xmlns="81488670-712e-4aa1-b4a8-3efe893be811" xsi:nil="true"/>
  </documentManagement>
</p:properties>
</file>

<file path=customXml/itemProps1.xml><?xml version="1.0" encoding="utf-8"?>
<ds:datastoreItem xmlns:ds="http://schemas.openxmlformats.org/officeDocument/2006/customXml" ds:itemID="{8BF7A68B-CAD4-4352-9499-74BE7446E1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9c5144-79c5-4f53-9a03-1ce91fc05c75"/>
    <ds:schemaRef ds:uri="81488670-712e-4aa1-b4a8-3efe893be8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941182-C430-46CC-80B9-45F8D442DD12}">
  <ds:schemaRefs>
    <ds:schemaRef ds:uri="http://schemas.microsoft.com/sharepoint/v3/contenttype/forms"/>
  </ds:schemaRefs>
</ds:datastoreItem>
</file>

<file path=customXml/itemProps3.xml><?xml version="1.0" encoding="utf-8"?>
<ds:datastoreItem xmlns:ds="http://schemas.openxmlformats.org/officeDocument/2006/customXml" ds:itemID="{075ABBDE-F64B-486B-8B50-C991E31CB810}">
  <ds:schemaRefs>
    <ds:schemaRef ds:uri="http://schemas.microsoft.com/office/2006/metadata/properties"/>
    <ds:schemaRef ds:uri="http://schemas.microsoft.com/office/infopath/2007/PartnerControls"/>
    <ds:schemaRef ds:uri="e99c5144-79c5-4f53-9a03-1ce91fc05c75"/>
    <ds:schemaRef ds:uri="81488670-712e-4aa1-b4a8-3efe893be8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Header</vt:lpstr>
      <vt:lpstr>Version history</vt:lpstr>
      <vt:lpstr>BCM_CSM</vt:lpstr>
      <vt:lpstr>BCM_FPAS </vt:lpstr>
      <vt:lpstr>BCM_BECB_DB</vt:lpstr>
      <vt:lpstr>BCM_RSBR</vt:lpstr>
      <vt:lpstr>CC21_24_OV24_DIVERSITY_TAB</vt:lpstr>
      <vt:lpstr>CC21_CC24_OV24_SCHEDULE_TAB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 Ramadugula</dc:creator>
  <cp:keywords/>
  <dc:description/>
  <cp:lastModifiedBy>MARCELLO ARAUJO</cp:lastModifiedBy>
  <cp:revision/>
  <dcterms:created xsi:type="dcterms:W3CDTF">2022-01-27T05:50:08Z</dcterms:created>
  <dcterms:modified xsi:type="dcterms:W3CDTF">2023-12-05T14:19:41Z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0x0101006F8C2E32CEE24146A09106EF1A39242C</vt:lpwstr>
  </property>
  <property fmtid="{D5CDD505-2E9C-101B-9397-08002B2CF9AE}" pid="3" name="MediaServiceImageTags">
    <vt:lpwstr/>
  </property>
  <property fmtid="{D5CDD505-2E9C-101B-9397-08002B2CF9AE}" pid="4" name="MSIP_Label_725ca717-11da-4935-b601-f527b9741f2e_Enabled">
    <vt:lpwstr>true</vt:lpwstr>
  </property>
  <property fmtid="{D5CDD505-2E9C-101B-9397-08002B2CF9AE}" pid="5" name="MSIP_Label_725ca717-11da-4935-b601-f527b9741f2e_SetDate">
    <vt:lpwstr>2023-11-14T17:04:46Z</vt:lpwstr>
  </property>
  <property fmtid="{D5CDD505-2E9C-101B-9397-08002B2CF9AE}" pid="6" name="MSIP_Label_725ca717-11da-4935-b601-f527b9741f2e_Method">
    <vt:lpwstr>Standard</vt:lpwstr>
  </property>
  <property fmtid="{D5CDD505-2E9C-101B-9397-08002B2CF9AE}" pid="7" name="MSIP_Label_725ca717-11da-4935-b601-f527b9741f2e_Name">
    <vt:lpwstr>C2 - Internal</vt:lpwstr>
  </property>
  <property fmtid="{D5CDD505-2E9C-101B-9397-08002B2CF9AE}" pid="8" name="MSIP_Label_725ca717-11da-4935-b601-f527b9741f2e_SiteId">
    <vt:lpwstr>d852d5cd-724c-4128-8812-ffa5db3f8507</vt:lpwstr>
  </property>
  <property fmtid="{D5CDD505-2E9C-101B-9397-08002B2CF9AE}" pid="9" name="MSIP_Label_725ca717-11da-4935-b601-f527b9741f2e_ActionId">
    <vt:lpwstr>9a8b9b4a-8e7c-4bb4-a384-688cd4252810</vt:lpwstr>
  </property>
  <property fmtid="{D5CDD505-2E9C-101B-9397-08002B2CF9AE}" pid="10" name="MSIP_Label_725ca717-11da-4935-b601-f527b9741f2e_ContentBits">
    <vt:lpwstr>0</vt:lpwstr>
  </property>
</Properties>
</file>